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xpense Directory" state="visible" r:id="rId4"/>
    <sheet sheetId="2" name="Registered Customers" state="visible" r:id="rId5"/>
    <sheet sheetId="3" name="Daily Tracker" state="visible" r:id="rId6"/>
    <sheet sheetId="4" name="Milk Category Summary" state="visible" r:id="rId7"/>
    <sheet sheetId="5" name="Rates &amp; Settings" state="visible" r:id="rId8"/>
  </sheets>
  <calcPr calcId="171027"/>
</workbook>
</file>

<file path=xl/sharedStrings.xml><?xml version="1.0" encoding="utf-8"?>
<sst xmlns="http://schemas.openxmlformats.org/spreadsheetml/2006/main" count="180" uniqueCount="136">
  <si>
    <t>Expense ID</t>
  </si>
  <si>
    <t>Date</t>
  </si>
  <si>
    <t>Expense Category</t>
  </si>
  <si>
    <t>Supplier / Worker / Note</t>
  </si>
  <si>
    <t>Amount Paid (Rs.)</t>
  </si>
  <si>
    <t>Remarks / Notes</t>
  </si>
  <si>
    <t>EXP-101</t>
  </si>
  <si>
    <t>2026-09-01</t>
  </si>
  <si>
    <t>Silage</t>
  </si>
  <si>
    <t>Green Fodder Supplier</t>
  </si>
  <si>
    <t>Silage tractor load</t>
  </si>
  <si>
    <t>EXP-102</t>
  </si>
  <si>
    <t>Grass Cutter Wage</t>
  </si>
  <si>
    <t>Murugan (Worker)</t>
  </si>
  <si>
    <t>Daily grass cutting wage</t>
  </si>
  <si>
    <t>EXP-103</t>
  </si>
  <si>
    <t>Feed / Punnaku</t>
  </si>
  <si>
    <t>Lakshmi Feed Store</t>
  </si>
  <si>
    <t>50kg Oil cake bag</t>
  </si>
  <si>
    <t>EXP-104</t>
  </si>
  <si>
    <t>Other Expense</t>
  </si>
  <si>
    <t>Veterinary Doctor</t>
  </si>
  <si>
    <t>Cattle health checkup</t>
  </si>
  <si>
    <t>EXP-105</t>
  </si>
  <si>
    <t>2026-09-02</t>
  </si>
  <si>
    <t>Daily wage</t>
  </si>
  <si>
    <t>EXP-106</t>
  </si>
  <si>
    <t>Concentrate feed</t>
  </si>
  <si>
    <t>EXP-107</t>
  </si>
  <si>
    <t>2026-09-03</t>
  </si>
  <si>
    <t>EXP-108</t>
  </si>
  <si>
    <t>Cattle Store</t>
  </si>
  <si>
    <t>Punnaku bag</t>
  </si>
  <si>
    <t>EXP-109</t>
  </si>
  <si>
    <t>2026-09-04</t>
  </si>
  <si>
    <t>Fodder Supplier</t>
  </si>
  <si>
    <t>New silage batch</t>
  </si>
  <si>
    <t>Customer ID</t>
  </si>
  <si>
    <t>Customer Name</t>
  </si>
  <si>
    <t>Milk Category</t>
  </si>
  <si>
    <t>Customer Type</t>
  </si>
  <si>
    <t>Phone Number</t>
  </si>
  <si>
    <t>Delivery Route / Address</t>
  </si>
  <si>
    <t>Def 175ml</t>
  </si>
  <si>
    <t>Def 475ml</t>
  </si>
  <si>
    <t>Def 500ml</t>
  </si>
  <si>
    <t>Def 750ml</t>
  </si>
  <si>
    <t>Def 1L</t>
  </si>
  <si>
    <t>Status</t>
  </si>
  <si>
    <t>Total Litres Bought</t>
  </si>
  <si>
    <t>Total Revenue (Rs.)</t>
  </si>
  <si>
    <t>CUST-101</t>
  </si>
  <si>
    <t>Dharshan</t>
  </si>
  <si>
    <t>Cattle Milk</t>
  </si>
  <si>
    <t>Daily Customer</t>
  </si>
  <si>
    <t>0764805061</t>
  </si>
  <si>
    <t>Route 1 - Green Valley</t>
  </si>
  <si>
    <t>Active</t>
  </si>
  <si>
    <t>CUST-102</t>
  </si>
  <si>
    <t>Hotel Royal Milk Account</t>
  </si>
  <si>
    <t>Monthly Customer</t>
  </si>
  <si>
    <t>9845012345</t>
  </si>
  <si>
    <t>Main Street Market #45</t>
  </si>
  <si>
    <t>CUST-103</t>
  </si>
  <si>
    <t>Sita Lakshmi</t>
  </si>
  <si>
    <t>Goat Milk</t>
  </si>
  <si>
    <t>9988776655</t>
  </si>
  <si>
    <t>Route 2 - Lakeview Homes</t>
  </si>
  <si>
    <t>CUST-104</t>
  </si>
  <si>
    <t>City Sweets &amp; Bakery</t>
  </si>
  <si>
    <t>9776655443</t>
  </si>
  <si>
    <t>Bypass Road #12</t>
  </si>
  <si>
    <t>CUST-105</t>
  </si>
  <si>
    <t>Spot Walk-in Buyers</t>
  </si>
  <si>
    <t>Time-Being</t>
  </si>
  <si>
    <t>N/A</t>
  </si>
  <si>
    <t>Farm Gate Direct</t>
  </si>
  <si>
    <t>Registered Customer</t>
  </si>
  <si>
    <t>175ml (Qty)</t>
  </si>
  <si>
    <t>475ml (Qty)</t>
  </si>
  <si>
    <t>500ml (Qty)</t>
  </si>
  <si>
    <t>750ml (Qty)</t>
  </si>
  <si>
    <t>1000ml (Qty)</t>
  </si>
  <si>
    <t>Total Litres</t>
  </si>
  <si>
    <t>Rev 175ml (Rs.)</t>
  </si>
  <si>
    <t>Rev 475ml (Rs.)</t>
  </si>
  <si>
    <t>Rev 500ml (Rs.)</t>
  </si>
  <si>
    <t>Rev 750ml (Rs.)</t>
  </si>
  <si>
    <t>Rev 1000ml (Rs.)</t>
  </si>
  <si>
    <t>Silage Cost (Rs.)</t>
  </si>
  <si>
    <t>Grass Cutter Wage (Rs.)</t>
  </si>
  <si>
    <t>Feed / Punnaku (Rs.)</t>
  </si>
  <si>
    <t>Other Expense (Rs.)</t>
  </si>
  <si>
    <t>Total Expenses (Rs.)</t>
  </si>
  <si>
    <t>Net Profit / Loss (Rs.)</t>
  </si>
  <si>
    <t>Remarks</t>
  </si>
  <si>
    <t>2026-09-07</t>
  </si>
  <si>
    <t>Route 1 &amp; Spot Sales</t>
  </si>
  <si>
    <t>Today total farm record</t>
  </si>
  <si>
    <t>2026-09-06</t>
  </si>
  <si>
    <t>Sita Lakshmi &amp; Goat Milk Clients</t>
  </si>
  <si>
    <t>Weekend sales spurt</t>
  </si>
  <si>
    <t>2026-09-05</t>
  </si>
  <si>
    <t>Event &amp; Walk-ins</t>
  </si>
  <si>
    <t>Cutter overtime wage</t>
  </si>
  <si>
    <t>Route 1 &amp; City Sweets</t>
  </si>
  <si>
    <t>New silage batch bought</t>
  </si>
  <si>
    <t>High 1L demand</t>
  </si>
  <si>
    <t>TOTAL</t>
  </si>
  <si>
    <t/>
  </si>
  <si>
    <t>All Categories</t>
  </si>
  <si>
    <t>Grand Total</t>
  </si>
  <si>
    <t>Milk Category Performance Summary</t>
  </si>
  <si>
    <t>Total Litres Sold</t>
  </si>
  <si>
    <t>Total Revenue Generated (Rs.)</t>
  </si>
  <si>
    <t>Revenue Share %</t>
  </si>
  <si>
    <t>Bottle Size / Item</t>
  </si>
  <si>
    <t>Cattle Milk Rate (Rs.)</t>
  </si>
  <si>
    <t>Goat Milk Rate (Rs.)</t>
  </si>
  <si>
    <t>Unit / Measure</t>
  </si>
  <si>
    <t>Notes &amp; Instructions</t>
  </si>
  <si>
    <t>175ml Bottle Selling Price</t>
  </si>
  <si>
    <t>Per Bottle (0.175 L)</t>
  </si>
  <si>
    <t>Editable: Unit price for 175ml bottle</t>
  </si>
  <si>
    <t>475ml Bottle Selling Price</t>
  </si>
  <si>
    <t>Per Bottle (0.475 L)</t>
  </si>
  <si>
    <t>Editable: Unit price for 475ml bottle</t>
  </si>
  <si>
    <t>500ml Bottle Selling Price</t>
  </si>
  <si>
    <t>Per Bottle (0.500 L)</t>
  </si>
  <si>
    <t>Editable: Unit price for 500ml bottle</t>
  </si>
  <si>
    <t>750ml Bottle Selling Price</t>
  </si>
  <si>
    <t>Per Bottle (0.750 L)</t>
  </si>
  <si>
    <t>Editable: Unit price for 750ml bottle</t>
  </si>
  <si>
    <t>1000ml (1L) Bottle Selling Price</t>
  </si>
  <si>
    <t>Per Bottle (1.000 L)</t>
  </si>
  <si>
    <t>Editable: Unit price for 1000ml (1L) bottle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</si>
</sst>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Rs. &quot;#,##0.00;(&quot;Rs. &quot;#,##0.00);&quot;-&quot;"/>
    <numFmt numFmtId="165" formatCode="#,##0.00 &quot;L&quot;"/>
    <numFmt numFmtId="166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FFFFFF"/>
      <sz val="14"/>
      <name val="Calibri"/>
    </font>
  </fonts>
  <fills count="8">
    <fill>
      <patternFill patternType="none"/>
    </fill>
    <fill>
      <patternFill patternType="gray125"/>
    </fill>
    <fill>
      <patternFill patternType="solid">
        <fgColor rgb="FFBE123C"/>
      </patternFill>
    </fill>
    <fill>
      <patternFill patternType="solid">
        <fgColor rgb="FFD97706"/>
      </patternFill>
    </fill>
    <fill>
      <patternFill patternType="solid">
        <fgColor rgb="FF1E293B"/>
      </patternFill>
    </fill>
    <fill>
      <patternFill patternType="solid">
        <fgColor rgb="FF0D9488"/>
      </patternFill>
    </fill>
    <fill>
      <patternFill patternType="solid">
        <fgColor rgb="FF4338CA"/>
      </patternFill>
    </fill>
    <fill>
      <patternFill patternType="solid">
        <fgColor rgb="FFF1F5F9"/>
      </patternFill>
    </fill>
  </fills>
  <borders count="3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double">
        <color rgb="FF334155"/>
      </top>
      <bottom style="double">
        <color rgb="FF334155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1" fillId="3" borderId="0" xfId="0" applyFont="1" applyFill="1" applyAlignment="1">
      <alignment horizontal="center" vertical="center"/>
    </xf>
    <xf numFmtId="165" fontId="0" fillId="0" borderId="1" xfId="0" applyNumberFormat="1" applyBorder="1"/>
    <xf numFmtId="0" fontId="1" fillId="4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3" fontId="0" fillId="0" borderId="1" xfId="0" applyNumberFormat="1" applyBorder="1"/>
    <xf numFmtId="0" fontId="2" fillId="7" borderId="2" xfId="0" applyFont="1" applyFill="1" applyBorder="1"/>
    <xf numFmtId="165" fontId="2" fillId="7" borderId="2" xfId="0" applyNumberFormat="1" applyFont="1" applyFill="1" applyBorder="1"/>
    <xf numFmtId="164" fontId="2" fillId="7" borderId="2" xfId="0" applyNumberFormat="1" applyFont="1" applyFill="1" applyBorder="1"/>
    <xf numFmtId="0" fontId="3" fillId="6" borderId="0" xfId="0" applyFont="1" applyFill="1" applyAlignment="1">
      <alignment horizontal="center" vertical="center"/>
    </xf>
    <xf numFmtId="0" fontId="1" fillId="0" borderId="0" xfId="0" applyFont="1"/>
    <xf numFmtId="0" fontId="1" fillId="4" borderId="0" xfId="0" applyFont="1" applyFill="1"/>
    <xf numFmtId="166" fontId="0" fillId="0" borderId="1" xfId="0" applyNumberFormat="1" applyBorder="1"/>
    <xf numFmtId="0" fontId="1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/>
  </sheetViews>
  <sheetFormatPr defaultRowHeight="15" outlineLevelRow="0" outlineLevelCol="0" x14ac:dyDescent="55"/>
  <cols>
    <col min="1" max="1" width="15" customWidth="1"/>
    <col min="2" max="2" width="14" customWidth="1"/>
    <col min="3" max="3" width="22" customWidth="1"/>
    <col min="4" max="4" width="28" customWidth="1"/>
    <col min="5" max="5" width="20" customWidth="1"/>
    <col min="6" max="6" width="32" customWidth="1"/>
  </cols>
  <sheetData>
    <row r="1" ht="28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3" t="s">
        <v>8</v>
      </c>
      <c r="D2" s="3" t="s">
        <v>9</v>
      </c>
      <c r="E2" s="4">
        <v>1200</v>
      </c>
      <c r="F2" s="3" t="s">
        <v>10</v>
      </c>
    </row>
    <row r="3" ht="20" customHeight="1" spans="1:6" x14ac:dyDescent="0.25">
      <c r="A3" s="2" t="s">
        <v>11</v>
      </c>
      <c r="B3" s="2" t="s">
        <v>7</v>
      </c>
      <c r="C3" s="3" t="s">
        <v>12</v>
      </c>
      <c r="D3" s="3" t="s">
        <v>13</v>
      </c>
      <c r="E3" s="4">
        <v>600</v>
      </c>
      <c r="F3" s="3" t="s">
        <v>14</v>
      </c>
    </row>
    <row r="4" ht="20" customHeight="1" spans="1:6" x14ac:dyDescent="0.25">
      <c r="A4" s="2" t="s">
        <v>15</v>
      </c>
      <c r="B4" s="2" t="s">
        <v>7</v>
      </c>
      <c r="C4" s="3" t="s">
        <v>16</v>
      </c>
      <c r="D4" s="3" t="s">
        <v>17</v>
      </c>
      <c r="E4" s="4">
        <v>450</v>
      </c>
      <c r="F4" s="3" t="s">
        <v>18</v>
      </c>
    </row>
    <row r="5" ht="20" customHeight="1" spans="1:6" x14ac:dyDescent="0.25">
      <c r="A5" s="2" t="s">
        <v>19</v>
      </c>
      <c r="B5" s="2" t="s">
        <v>7</v>
      </c>
      <c r="C5" s="3" t="s">
        <v>20</v>
      </c>
      <c r="D5" s="3" t="s">
        <v>21</v>
      </c>
      <c r="E5" s="4">
        <v>100</v>
      </c>
      <c r="F5" s="3" t="s">
        <v>22</v>
      </c>
    </row>
    <row r="6" ht="20" customHeight="1" spans="1:6" x14ac:dyDescent="0.25">
      <c r="A6" s="2" t="s">
        <v>23</v>
      </c>
      <c r="B6" s="2" t="s">
        <v>24</v>
      </c>
      <c r="C6" s="3" t="s">
        <v>12</v>
      </c>
      <c r="D6" s="3" t="s">
        <v>13</v>
      </c>
      <c r="E6" s="4">
        <v>600</v>
      </c>
      <c r="F6" s="3" t="s">
        <v>25</v>
      </c>
    </row>
    <row r="7" ht="20" customHeight="1" spans="1:6" x14ac:dyDescent="0.25">
      <c r="A7" s="2" t="s">
        <v>26</v>
      </c>
      <c r="B7" s="2" t="s">
        <v>24</v>
      </c>
      <c r="C7" s="3" t="s">
        <v>16</v>
      </c>
      <c r="D7" s="3" t="s">
        <v>17</v>
      </c>
      <c r="E7" s="4">
        <v>450</v>
      </c>
      <c r="F7" s="3" t="s">
        <v>27</v>
      </c>
    </row>
    <row r="8" ht="20" customHeight="1" spans="1:6" x14ac:dyDescent="0.25">
      <c r="A8" s="2" t="s">
        <v>28</v>
      </c>
      <c r="B8" s="2" t="s">
        <v>29</v>
      </c>
      <c r="C8" s="3" t="s">
        <v>12</v>
      </c>
      <c r="D8" s="3" t="s">
        <v>13</v>
      </c>
      <c r="E8" s="4">
        <v>600</v>
      </c>
      <c r="F8" s="3" t="s">
        <v>25</v>
      </c>
    </row>
    <row r="9" ht="20" customHeight="1" spans="1:6" x14ac:dyDescent="0.25">
      <c r="A9" s="2" t="s">
        <v>30</v>
      </c>
      <c r="B9" s="2" t="s">
        <v>29</v>
      </c>
      <c r="C9" s="3" t="s">
        <v>16</v>
      </c>
      <c r="D9" s="3" t="s">
        <v>31</v>
      </c>
      <c r="E9" s="4">
        <v>500</v>
      </c>
      <c r="F9" s="3" t="s">
        <v>32</v>
      </c>
    </row>
    <row r="10" ht="20" customHeight="1" spans="1:6" x14ac:dyDescent="0.25">
      <c r="A10" s="2" t="s">
        <v>33</v>
      </c>
      <c r="B10" s="2" t="s">
        <v>34</v>
      </c>
      <c r="C10" s="3" t="s">
        <v>8</v>
      </c>
      <c r="D10" s="3" t="s">
        <v>35</v>
      </c>
      <c r="E10" s="4">
        <v>1200</v>
      </c>
      <c r="F10" s="3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"/>
  <sheetViews>
    <sheetView workbookViewId="0"/>
  </sheetViews>
  <sheetFormatPr defaultRowHeight="15" outlineLevelRow="0" outlineLevelCol="0" x14ac:dyDescent="55"/>
  <cols>
    <col min="1" max="1" width="15" customWidth="1"/>
    <col min="2" max="2" width="25" customWidth="1"/>
    <col min="3" max="3" width="16" customWidth="1"/>
    <col min="4" max="4" width="18" customWidth="1"/>
    <col min="5" max="5" width="16" customWidth="1"/>
    <col min="6" max="6" width="30" customWidth="1"/>
    <col min="7" max="12" width="12" customWidth="1"/>
    <col min="13" max="13" width="20" customWidth="1"/>
    <col min="14" max="14" width="22" customWidth="1"/>
  </cols>
  <sheetData>
    <row r="1" ht="28" customHeight="1" spans="1:14" x14ac:dyDescent="0.25">
      <c r="A1" s="5" t="s">
        <v>37</v>
      </c>
      <c r="B1" s="5" t="s">
        <v>38</v>
      </c>
      <c r="C1" s="5" t="s">
        <v>39</v>
      </c>
      <c r="D1" s="5" t="s">
        <v>40</v>
      </c>
      <c r="E1" s="5" t="s">
        <v>41</v>
      </c>
      <c r="F1" s="5" t="s">
        <v>42</v>
      </c>
      <c r="G1" s="5" t="s">
        <v>43</v>
      </c>
      <c r="H1" s="5" t="s">
        <v>44</v>
      </c>
      <c r="I1" s="5" t="s">
        <v>45</v>
      </c>
      <c r="J1" s="5" t="s">
        <v>46</v>
      </c>
      <c r="K1" s="5" t="s">
        <v>47</v>
      </c>
      <c r="L1" s="5" t="s">
        <v>48</v>
      </c>
      <c r="M1" s="5" t="s">
        <v>49</v>
      </c>
      <c r="N1" s="5" t="s">
        <v>50</v>
      </c>
    </row>
    <row r="2" ht="20" customHeight="1" spans="1:14" x14ac:dyDescent="0.25">
      <c r="A2" s="2" t="s">
        <v>51</v>
      </c>
      <c r="B2" s="3" t="s">
        <v>52</v>
      </c>
      <c r="C2" s="2" t="s">
        <v>53</v>
      </c>
      <c r="D2" s="2" t="s">
        <v>54</v>
      </c>
      <c r="E2" s="2" t="s">
        <v>55</v>
      </c>
      <c r="F2" s="3" t="s">
        <v>56</v>
      </c>
      <c r="G2" s="3">
        <v>0</v>
      </c>
      <c r="H2" s="3">
        <v>1</v>
      </c>
      <c r="I2" s="3">
        <v>0</v>
      </c>
      <c r="J2" s="3">
        <v>2</v>
      </c>
      <c r="K2" s="3">
        <v>1</v>
      </c>
      <c r="L2" s="2" t="s">
        <v>57</v>
      </c>
      <c r="M2" s="6">
        <f>SUMIF('Daily Tracker'!D2:D100, B2, 'Daily Tracker'!J2:J100)</f>
      </c>
      <c r="N2" s="4">
        <f>SUMIF('Daily Tracker'!D2:D100, B2, 'Daily Tracker'!P2:P100)</f>
      </c>
    </row>
    <row r="3" ht="20" customHeight="1" spans="1:14" x14ac:dyDescent="0.25">
      <c r="A3" s="2" t="s">
        <v>58</v>
      </c>
      <c r="B3" s="3" t="s">
        <v>59</v>
      </c>
      <c r="C3" s="2" t="s">
        <v>53</v>
      </c>
      <c r="D3" s="2" t="s">
        <v>60</v>
      </c>
      <c r="E3" s="2" t="s">
        <v>61</v>
      </c>
      <c r="F3" s="3" t="s">
        <v>62</v>
      </c>
      <c r="G3" s="3">
        <v>10</v>
      </c>
      <c r="H3" s="3">
        <v>10</v>
      </c>
      <c r="I3" s="3">
        <v>5</v>
      </c>
      <c r="J3" s="3">
        <v>20</v>
      </c>
      <c r="K3" s="3">
        <v>15</v>
      </c>
      <c r="L3" s="2" t="s">
        <v>57</v>
      </c>
      <c r="M3" s="6">
        <f>SUMIF('Daily Tracker'!D2:D100, B3, 'Daily Tracker'!J2:J100)</f>
      </c>
      <c r="N3" s="4">
        <f>SUMIF('Daily Tracker'!D2:D100, B3, 'Daily Tracker'!P2:P100)</f>
      </c>
    </row>
    <row r="4" ht="20" customHeight="1" spans="1:14" x14ac:dyDescent="0.25">
      <c r="A4" s="2" t="s">
        <v>63</v>
      </c>
      <c r="B4" s="3" t="s">
        <v>64</v>
      </c>
      <c r="C4" s="2" t="s">
        <v>65</v>
      </c>
      <c r="D4" s="2" t="s">
        <v>54</v>
      </c>
      <c r="E4" s="2" t="s">
        <v>66</v>
      </c>
      <c r="F4" s="3" t="s">
        <v>67</v>
      </c>
      <c r="G4" s="3">
        <v>2</v>
      </c>
      <c r="H4" s="3">
        <v>1</v>
      </c>
      <c r="I4" s="3">
        <v>0</v>
      </c>
      <c r="J4" s="3">
        <v>1</v>
      </c>
      <c r="K4" s="3">
        <v>0</v>
      </c>
      <c r="L4" s="2" t="s">
        <v>57</v>
      </c>
      <c r="M4" s="6">
        <f>SUMIF('Daily Tracker'!D2:D100, B4, 'Daily Tracker'!J2:J100)</f>
      </c>
      <c r="N4" s="4">
        <f>SUMIF('Daily Tracker'!D2:D100, B4, 'Daily Tracker'!P2:P100)</f>
      </c>
    </row>
    <row r="5" ht="20" customHeight="1" spans="1:14" x14ac:dyDescent="0.25">
      <c r="A5" s="2" t="s">
        <v>68</v>
      </c>
      <c r="B5" s="3" t="s">
        <v>69</v>
      </c>
      <c r="C5" s="2" t="s">
        <v>53</v>
      </c>
      <c r="D5" s="2" t="s">
        <v>60</v>
      </c>
      <c r="E5" s="2" t="s">
        <v>70</v>
      </c>
      <c r="F5" s="3" t="s">
        <v>71</v>
      </c>
      <c r="G5" s="3">
        <v>0</v>
      </c>
      <c r="H5" s="3">
        <v>0</v>
      </c>
      <c r="I5" s="3">
        <v>20</v>
      </c>
      <c r="J5" s="3">
        <v>30</v>
      </c>
      <c r="K5" s="3">
        <v>25</v>
      </c>
      <c r="L5" s="2" t="s">
        <v>57</v>
      </c>
      <c r="M5" s="6">
        <f>SUMIF('Daily Tracker'!D2:D100, B5, 'Daily Tracker'!J2:J100)</f>
      </c>
      <c r="N5" s="4">
        <f>SUMIF('Daily Tracker'!D2:D100, B5, 'Daily Tracker'!P2:P100)</f>
      </c>
    </row>
    <row r="6" ht="20" customHeight="1" spans="1:14" x14ac:dyDescent="0.25">
      <c r="A6" s="2" t="s">
        <v>72</v>
      </c>
      <c r="B6" s="3" t="s">
        <v>73</v>
      </c>
      <c r="C6" s="2" t="s">
        <v>65</v>
      </c>
      <c r="D6" s="2" t="s">
        <v>74</v>
      </c>
      <c r="E6" s="2" t="s">
        <v>75</v>
      </c>
      <c r="F6" s="3" t="s">
        <v>76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2" t="s">
        <v>57</v>
      </c>
      <c r="M6" s="6">
        <f>SUMIF('Daily Tracker'!D2:D100, B6, 'Daily Tracker'!J2:J100)</f>
      </c>
      <c r="N6" s="4">
        <f>SUMIF('Daily Tracker'!D2:D100, B6, 'Daily Tracker'!P2:P100)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7"/>
  <sheetViews>
    <sheetView workbookViewId="0"/>
  </sheetViews>
  <sheetFormatPr defaultRowHeight="15" outlineLevelRow="0" outlineLevelCol="0" x14ac:dyDescent="55"/>
  <cols>
    <col min="1" max="1" width="13" customWidth="1"/>
    <col min="2" max="2" width="16" customWidth="1"/>
    <col min="3" max="3" width="18" customWidth="1"/>
    <col min="4" max="4" width="25" customWidth="1"/>
    <col min="5" max="9" width="12" customWidth="1"/>
    <col min="10" max="10" width="14" customWidth="1"/>
    <col min="11" max="15" width="15" customWidth="1"/>
    <col min="16" max="16" width="18" customWidth="1"/>
    <col min="17" max="17" width="16" customWidth="1"/>
    <col min="18" max="18" width="20" customWidth="1"/>
    <col min="19" max="21" width="18" customWidth="1"/>
    <col min="22" max="22" width="20" customWidth="1"/>
    <col min="23" max="23" width="25" customWidth="1"/>
  </cols>
  <sheetData>
    <row r="1" ht="28" customHeight="1" spans="1:23" x14ac:dyDescent="0.25">
      <c r="A1" s="7" t="s">
        <v>1</v>
      </c>
      <c r="B1" s="8" t="s">
        <v>39</v>
      </c>
      <c r="C1" s="8" t="s">
        <v>40</v>
      </c>
      <c r="D1" s="8" t="s">
        <v>77</v>
      </c>
      <c r="E1" s="9" t="s">
        <v>78</v>
      </c>
      <c r="F1" s="9" t="s">
        <v>79</v>
      </c>
      <c r="G1" s="9" t="s">
        <v>80</v>
      </c>
      <c r="H1" s="9" t="s">
        <v>81</v>
      </c>
      <c r="I1" s="9" t="s">
        <v>82</v>
      </c>
      <c r="J1" s="9" t="s">
        <v>83</v>
      </c>
      <c r="K1" s="9" t="s">
        <v>84</v>
      </c>
      <c r="L1" s="9" t="s">
        <v>85</v>
      </c>
      <c r="M1" s="9" t="s">
        <v>86</v>
      </c>
      <c r="N1" s="9" t="s">
        <v>87</v>
      </c>
      <c r="O1" s="9" t="s">
        <v>88</v>
      </c>
      <c r="P1" s="9" t="s">
        <v>50</v>
      </c>
      <c r="Q1" s="10" t="s">
        <v>89</v>
      </c>
      <c r="R1" s="10" t="s">
        <v>90</v>
      </c>
      <c r="S1" s="10" t="s">
        <v>91</v>
      </c>
      <c r="T1" s="10" t="s">
        <v>92</v>
      </c>
      <c r="U1" s="10" t="s">
        <v>93</v>
      </c>
      <c r="V1" s="11" t="s">
        <v>94</v>
      </c>
      <c r="W1" s="7" t="s">
        <v>95</v>
      </c>
    </row>
    <row r="2" ht="20" customHeight="1" spans="1:23" x14ac:dyDescent="0.25">
      <c r="A2" s="2" t="s">
        <v>96</v>
      </c>
      <c r="B2" s="2" t="s">
        <v>53</v>
      </c>
      <c r="C2" s="2" t="s">
        <v>54</v>
      </c>
      <c r="D2" s="3" t="s">
        <v>97</v>
      </c>
      <c r="E2" s="12">
        <v>10</v>
      </c>
      <c r="F2" s="12">
        <v>20</v>
      </c>
      <c r="G2" s="12">
        <v>15</v>
      </c>
      <c r="H2" s="12">
        <v>44</v>
      </c>
      <c r="I2" s="12">
        <v>34</v>
      </c>
      <c r="J2" s="6">
        <f>(E2*0.175)+(F2*0.475)+(G2*0.5)+(H2*0.75)+(I2*1)</f>
      </c>
      <c r="K2" s="4">
        <f>E2*IF(B2="Goat Milk",'Rates &amp; Settings'!$C$3,'Rates &amp; Settings'!$B$3)</f>
      </c>
      <c r="L2" s="4">
        <f>F2*IF(B2="Goat Milk",'Rates &amp; Settings'!$C$4,'Rates &amp; Settings'!$B$4)</f>
      </c>
      <c r="M2" s="4">
        <f>G2*IF(B2="Goat Milk",'Rates &amp; Settings'!$C$5,'Rates &amp; Settings'!$B$5)</f>
      </c>
      <c r="N2" s="4">
        <f>H2*IF(B2="Goat Milk",'Rates &amp; Settings'!$C$6,'Rates &amp; Settings'!$B$6)</f>
      </c>
      <c r="O2" s="4">
        <f>I2*IF(B2="Goat Milk",'Rates &amp; Settings'!$C$7,'Rates &amp; Settings'!$B$7)</f>
      </c>
      <c r="P2" s="4">
        <f>SUM(K2:O2)</f>
      </c>
      <c r="Q2" s="4">
        <v>0</v>
      </c>
      <c r="R2" s="4">
        <v>600</v>
      </c>
      <c r="S2" s="4">
        <v>460</v>
      </c>
      <c r="T2" s="4">
        <v>0</v>
      </c>
      <c r="U2" s="4">
        <f>SUM(Q2:T2)</f>
      </c>
      <c r="V2" s="4">
        <f>P2-U2</f>
      </c>
      <c r="W2" s="3" t="s">
        <v>98</v>
      </c>
    </row>
    <row r="3" ht="20" customHeight="1" spans="1:23" x14ac:dyDescent="0.25">
      <c r="A3" s="2" t="s">
        <v>99</v>
      </c>
      <c r="B3" s="2" t="s">
        <v>65</v>
      </c>
      <c r="C3" s="2" t="s">
        <v>54</v>
      </c>
      <c r="D3" s="3" t="s">
        <v>100</v>
      </c>
      <c r="E3" s="12">
        <v>12</v>
      </c>
      <c r="F3" s="12">
        <v>10</v>
      </c>
      <c r="G3" s="12">
        <v>8</v>
      </c>
      <c r="H3" s="12">
        <v>15</v>
      </c>
      <c r="I3" s="12">
        <v>5</v>
      </c>
      <c r="J3" s="6">
        <f>(E3*0.175)+(F3*0.475)+(G3*0.5)+(H3*0.75)+(I3*1)</f>
      </c>
      <c r="K3" s="4">
        <f>E3*IF(B3="Goat Milk",'Rates &amp; Settings'!$C$3,'Rates &amp; Settings'!$B$3)</f>
      </c>
      <c r="L3" s="4">
        <f>F3*IF(B3="Goat Milk",'Rates &amp; Settings'!$C$4,'Rates &amp; Settings'!$B$4)</f>
      </c>
      <c r="M3" s="4">
        <f>G3*IF(B3="Goat Milk",'Rates &amp; Settings'!$C$5,'Rates &amp; Settings'!$B$5)</f>
      </c>
      <c r="N3" s="4">
        <f>H3*IF(B3="Goat Milk",'Rates &amp; Settings'!$C$6,'Rates &amp; Settings'!$B$6)</f>
      </c>
      <c r="O3" s="4">
        <f>I3*IF(B3="Goat Milk",'Rates &amp; Settings'!$C$7,'Rates &amp; Settings'!$B$7)</f>
      </c>
      <c r="P3" s="4">
        <f>SUM(K3:O3)</f>
      </c>
      <c r="Q3" s="4">
        <v>0</v>
      </c>
      <c r="R3" s="4">
        <v>600</v>
      </c>
      <c r="S3" s="4">
        <v>450</v>
      </c>
      <c r="T3" s="4">
        <v>0</v>
      </c>
      <c r="U3" s="4">
        <f>SUM(Q3:T3)</f>
      </c>
      <c r="V3" s="4">
        <f>P3-U3</f>
      </c>
      <c r="W3" s="3" t="s">
        <v>101</v>
      </c>
    </row>
    <row r="4" ht="20" customHeight="1" spans="1:23" x14ac:dyDescent="0.25">
      <c r="A4" s="2" t="s">
        <v>102</v>
      </c>
      <c r="B4" s="2" t="s">
        <v>53</v>
      </c>
      <c r="C4" s="2" t="s">
        <v>74</v>
      </c>
      <c r="D4" s="3" t="s">
        <v>103</v>
      </c>
      <c r="E4" s="12">
        <v>5</v>
      </c>
      <c r="F4" s="12">
        <v>32</v>
      </c>
      <c r="G4" s="12">
        <v>10</v>
      </c>
      <c r="H4" s="12">
        <v>42</v>
      </c>
      <c r="I4" s="12">
        <v>30</v>
      </c>
      <c r="J4" s="6">
        <f>(E4*0.175)+(F4*0.475)+(G4*0.5)+(H4*0.75)+(I4*1)</f>
      </c>
      <c r="K4" s="4">
        <f>E4*IF(B4="Goat Milk",'Rates &amp; Settings'!$C$3,'Rates &amp; Settings'!$B$3)</f>
      </c>
      <c r="L4" s="4">
        <f>F4*IF(B4="Goat Milk",'Rates &amp; Settings'!$C$4,'Rates &amp; Settings'!$B$4)</f>
      </c>
      <c r="M4" s="4">
        <f>G4*IF(B4="Goat Milk",'Rates &amp; Settings'!$C$5,'Rates &amp; Settings'!$B$5)</f>
      </c>
      <c r="N4" s="4">
        <f>H4*IF(B4="Goat Milk",'Rates &amp; Settings'!$C$6,'Rates &amp; Settings'!$B$6)</f>
      </c>
      <c r="O4" s="4">
        <f>I4*IF(B4="Goat Milk",'Rates &amp; Settings'!$C$7,'Rates &amp; Settings'!$B$7)</f>
      </c>
      <c r="P4" s="4">
        <f>SUM(K4:O4)</f>
      </c>
      <c r="Q4" s="4">
        <v>0</v>
      </c>
      <c r="R4" s="4">
        <v>650</v>
      </c>
      <c r="S4" s="4">
        <v>480</v>
      </c>
      <c r="T4" s="4">
        <v>120</v>
      </c>
      <c r="U4" s="4">
        <f>SUM(Q4:T4)</f>
      </c>
      <c r="V4" s="4">
        <f>P4-U4</f>
      </c>
      <c r="W4" s="3" t="s">
        <v>104</v>
      </c>
    </row>
    <row r="5" ht="20" customHeight="1" spans="1:23" x14ac:dyDescent="0.25">
      <c r="A5" s="2" t="s">
        <v>34</v>
      </c>
      <c r="B5" s="2" t="s">
        <v>53</v>
      </c>
      <c r="C5" s="2" t="s">
        <v>54</v>
      </c>
      <c r="D5" s="3" t="s">
        <v>105</v>
      </c>
      <c r="E5" s="12">
        <v>8</v>
      </c>
      <c r="F5" s="12">
        <v>28</v>
      </c>
      <c r="G5" s="12">
        <v>12</v>
      </c>
      <c r="H5" s="12">
        <v>38</v>
      </c>
      <c r="I5" s="12">
        <v>28</v>
      </c>
      <c r="J5" s="6">
        <f>(E5*0.175)+(F5*0.475)+(G5*0.5)+(H5*0.75)+(I5*1)</f>
      </c>
      <c r="K5" s="4">
        <f>E5*IF(B5="Goat Milk",'Rates &amp; Settings'!$C$3,'Rates &amp; Settings'!$B$3)</f>
      </c>
      <c r="L5" s="4">
        <f>F5*IF(B5="Goat Milk",'Rates &amp; Settings'!$C$4,'Rates &amp; Settings'!$B$4)</f>
      </c>
      <c r="M5" s="4">
        <f>G5*IF(B5="Goat Milk",'Rates &amp; Settings'!$C$5,'Rates &amp; Settings'!$B$5)</f>
      </c>
      <c r="N5" s="4">
        <f>H5*IF(B5="Goat Milk",'Rates &amp; Settings'!$C$6,'Rates &amp; Settings'!$B$6)</f>
      </c>
      <c r="O5" s="4">
        <f>I5*IF(B5="Goat Milk",'Rates &amp; Settings'!$C$7,'Rates &amp; Settings'!$B$7)</f>
      </c>
      <c r="P5" s="4">
        <f>SUM(K5:O5)</f>
      </c>
      <c r="Q5" s="4">
        <v>1200</v>
      </c>
      <c r="R5" s="4">
        <v>600</v>
      </c>
      <c r="S5" s="4">
        <v>450</v>
      </c>
      <c r="T5" s="4">
        <v>0</v>
      </c>
      <c r="U5" s="4">
        <f>SUM(Q5:T5)</f>
      </c>
      <c r="V5" s="4">
        <f>P5-U5</f>
      </c>
      <c r="W5" s="3" t="s">
        <v>106</v>
      </c>
    </row>
    <row r="6" ht="20" customHeight="1" spans="1:23" x14ac:dyDescent="0.25">
      <c r="A6" s="2" t="s">
        <v>29</v>
      </c>
      <c r="B6" s="2" t="s">
        <v>65</v>
      </c>
      <c r="C6" s="2" t="s">
        <v>60</v>
      </c>
      <c r="D6" s="3" t="s">
        <v>69</v>
      </c>
      <c r="E6" s="12">
        <v>15</v>
      </c>
      <c r="F6" s="12">
        <v>20</v>
      </c>
      <c r="G6" s="12">
        <v>10</v>
      </c>
      <c r="H6" s="12">
        <v>25</v>
      </c>
      <c r="I6" s="12">
        <v>10</v>
      </c>
      <c r="J6" s="6">
        <f>(E6*0.175)+(F6*0.475)+(G6*0.5)+(H6*0.75)+(I6*1)</f>
      </c>
      <c r="K6" s="4">
        <f>E6*IF(B6="Goat Milk",'Rates &amp; Settings'!$C$3,'Rates &amp; Settings'!$B$3)</f>
      </c>
      <c r="L6" s="4">
        <f>F6*IF(B6="Goat Milk",'Rates &amp; Settings'!$C$4,'Rates &amp; Settings'!$B$4)</f>
      </c>
      <c r="M6" s="4">
        <f>G6*IF(B6="Goat Milk",'Rates &amp; Settings'!$C$5,'Rates &amp; Settings'!$B$5)</f>
      </c>
      <c r="N6" s="4">
        <f>H6*IF(B6="Goat Milk",'Rates &amp; Settings'!$C$6,'Rates &amp; Settings'!$B$6)</f>
      </c>
      <c r="O6" s="4">
        <f>I6*IF(B6="Goat Milk",'Rates &amp; Settings'!$C$7,'Rates &amp; Settings'!$B$7)</f>
      </c>
      <c r="P6" s="4">
        <f>SUM(K6:O6)</f>
      </c>
      <c r="Q6" s="4">
        <v>0</v>
      </c>
      <c r="R6" s="4">
        <v>600</v>
      </c>
      <c r="S6" s="4">
        <v>500</v>
      </c>
      <c r="T6" s="4">
        <v>50</v>
      </c>
      <c r="U6" s="4">
        <f>SUM(Q6:T6)</f>
      </c>
      <c r="V6" s="4">
        <f>P6-U6</f>
      </c>
      <c r="W6" s="3" t="s">
        <v>107</v>
      </c>
    </row>
    <row r="7" ht="24" customHeight="1" spans="1:23" x14ac:dyDescent="0.25">
      <c r="A7" s="13" t="s">
        <v>108</v>
      </c>
      <c r="B7" s="13" t="s">
        <v>109</v>
      </c>
      <c r="C7" s="13" t="s">
        <v>109</v>
      </c>
      <c r="D7" s="13" t="s">
        <v>110</v>
      </c>
      <c r="E7" s="13">
        <f>SUM(E2:E6)</f>
      </c>
      <c r="F7" s="13">
        <f>SUM(F2:F6)</f>
      </c>
      <c r="G7" s="13">
        <f>SUM(G2:G6)</f>
      </c>
      <c r="H7" s="13">
        <f>SUM(H2:H6)</f>
      </c>
      <c r="I7" s="13">
        <f>SUM(I2:I6)</f>
      </c>
      <c r="J7" s="14">
        <f>SUM(J2:J6)</f>
      </c>
      <c r="K7" s="15">
        <f>SUM(K2:K6)</f>
      </c>
      <c r="L7" s="15">
        <f>SUM(L2:L6)</f>
      </c>
      <c r="M7" s="15">
        <f>SUM(M2:M6)</f>
      </c>
      <c r="N7" s="15">
        <f>SUM(N2:N6)</f>
      </c>
      <c r="O7" s="15">
        <f>SUM(O2:O6)</f>
      </c>
      <c r="P7" s="15">
        <f>SUM(P2:P6)</f>
      </c>
      <c r="Q7" s="15">
        <f>SUM(Q2:Q6)</f>
      </c>
      <c r="R7" s="15">
        <f>SUM(R2:R6)</f>
      </c>
      <c r="S7" s="15">
        <f>SUM(S2:S6)</f>
      </c>
      <c r="T7" s="15">
        <f>SUM(T2:T6)</f>
      </c>
      <c r="U7" s="15">
        <f>SUM(U2:U6)</f>
      </c>
      <c r="V7" s="15">
        <f>SUM(V2:V6)</f>
      </c>
      <c r="W7" s="13" t="s">
        <v>111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"/>
  <sheetViews>
    <sheetView workbookViewId="0"/>
  </sheetViews>
  <sheetFormatPr defaultRowHeight="15" outlineLevelRow="0" outlineLevelCol="0" x14ac:dyDescent="55"/>
  <cols>
    <col min="1" max="1" width="24" customWidth="1"/>
    <col min="2" max="2" width="18" customWidth="1"/>
    <col min="3" max="3" width="25" customWidth="1"/>
    <col min="4" max="4" width="16" customWidth="1"/>
  </cols>
  <sheetData>
    <row r="1" ht="28" customHeight="1" spans="1:4" x14ac:dyDescent="0.25">
      <c r="A1" s="16" t="s">
        <v>112</v>
      </c>
      <c r="B1" s="16"/>
      <c r="C1" s="16"/>
      <c r="D1" s="16"/>
    </row>
    <row r="2" spans="1:4" s="17" customFormat="1" x14ac:dyDescent="0.25">
      <c r="A2" s="18" t="s">
        <v>39</v>
      </c>
      <c r="B2" s="18" t="s">
        <v>113</v>
      </c>
      <c r="C2" s="18" t="s">
        <v>114</v>
      </c>
      <c r="D2" s="18" t="s">
        <v>115</v>
      </c>
    </row>
    <row r="3" spans="1:4" x14ac:dyDescent="0.25">
      <c r="A3" s="3" t="s">
        <v>53</v>
      </c>
      <c r="B3" s="6">
        <f>SUMIF('Daily Tracker'!B2:B6, "Cattle Milk", 'Daily Tracker'!J2:J6)</f>
      </c>
      <c r="C3" s="4">
        <f>SUMIF('Daily Tracker'!B2:B6, "Cattle Milk", 'Daily Tracker'!P2:P6)</f>
      </c>
      <c r="D3" s="19">
        <f>IF(C3&gt;0, C3/SUM($C$3:$C$4), 0)</f>
      </c>
    </row>
    <row r="4" spans="1:4" x14ac:dyDescent="0.25">
      <c r="A4" s="3" t="s">
        <v>65</v>
      </c>
      <c r="B4" s="6">
        <f>SUMIF('Daily Tracker'!B2:B6, "Goat Milk", 'Daily Tracker'!J2:J6)</f>
      </c>
      <c r="C4" s="4">
        <f>SUMIF('Daily Tracker'!B2:B6, "Goat Milk", 'Daily Tracker'!P2:P6)</f>
      </c>
      <c r="D4" s="19">
        <f>IF(C4&gt;0, C4/SUM($C$3:$C$4), 0)</f>
      </c>
    </row>
  </sheetData>
  <mergeCells count="1">
    <mergeCell ref="A1:D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"/>
  <sheetViews>
    <sheetView workbookViewId="0"/>
  </sheetViews>
  <sheetFormatPr defaultRowHeight="15" outlineLevelRow="0" outlineLevelCol="0" x14ac:dyDescent="55"/>
  <cols>
    <col min="1" max="3" width="25" customWidth="1"/>
    <col min="4" max="4" width="20" customWidth="1"/>
    <col min="5" max="5" width="40" customWidth="1"/>
  </cols>
  <sheetData>
    <row r="1" spans="1:5" x14ac:dyDescent="0.25">
      <c r="A1" s="20" t="s">
        <v>116</v>
      </c>
      <c r="B1" s="20" t="s">
        <v>117</v>
      </c>
      <c r="C1" s="20" t="s">
        <v>118</v>
      </c>
      <c r="D1" s="20" t="s">
        <v>119</v>
      </c>
      <c r="E1" s="20" t="s">
        <v>120</v>
      </c>
    </row>
    <row r="2" spans="1:5" x14ac:dyDescent="0.25">
      <c r="A2" s="3" t="s">
        <v>121</v>
      </c>
      <c r="B2" s="4">
        <v>15</v>
      </c>
      <c r="C2" s="4">
        <v>25</v>
      </c>
      <c r="D2" s="3" t="s">
        <v>122</v>
      </c>
      <c r="E2" s="3" t="s">
        <v>123</v>
      </c>
    </row>
    <row r="3" spans="1:5" x14ac:dyDescent="0.25">
      <c r="A3" s="3" t="s">
        <v>124</v>
      </c>
      <c r="B3" s="4">
        <v>35</v>
      </c>
      <c r="C3" s="4">
        <v>60</v>
      </c>
      <c r="D3" s="3" t="s">
        <v>125</v>
      </c>
      <c r="E3" s="3" t="s">
        <v>126</v>
      </c>
    </row>
    <row r="4" spans="1:5" x14ac:dyDescent="0.25">
      <c r="A4" s="3" t="s">
        <v>127</v>
      </c>
      <c r="B4" s="4">
        <v>38</v>
      </c>
      <c r="C4" s="4">
        <v>65</v>
      </c>
      <c r="D4" s="3" t="s">
        <v>128</v>
      </c>
      <c r="E4" s="3" t="s">
        <v>129</v>
      </c>
    </row>
    <row r="5" spans="1:5" x14ac:dyDescent="0.25">
      <c r="A5" s="3" t="s">
        <v>130</v>
      </c>
      <c r="B5" s="4">
        <v>50</v>
      </c>
      <c r="C5" s="4">
        <v>90</v>
      </c>
      <c r="D5" s="3" t="s">
        <v>131</v>
      </c>
      <c r="E5" s="3" t="s">
        <v>132</v>
      </c>
    </row>
    <row r="6" spans="1:5" x14ac:dyDescent="0.25">
      <c r="A6" s="3" t="s">
        <v>133</v>
      </c>
      <c r="B6" s="4">
        <v>65</v>
      </c>
      <c r="C6" s="4">
        <v>120</v>
      </c>
      <c r="D6" s="3" t="s">
        <v>134</v>
      </c>
      <c r="E6" s="3" t="s">
        <v>135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Expense Directory</vt:lpstr>
      <vt:lpstr>Registered Customers</vt:lpstr>
      <vt:lpstr>Daily Tracker</vt:lpstr>
      <vt:lpstr>Milk Category Summary</vt:lpstr>
      <vt:lpstr>Rates &amp; Settings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Happy Family Farms</dc:creator>
  <dc:title/>
  <dc:subject/>
  <dc:description/>
  <cp:keywords/>
  <cp:category/>
  <cp:lastModifiedBy>Happy Family Farms</cp:lastModifiedBy>
  <dcterms:created xsi:type="dcterms:W3CDTF">2026-09-15T15:40:42Z</dcterms:created>
  <dcterms:modified xsi:type="dcterms:W3CDTF">2026-09-15T15:40:42Z</dcterms:modified>
</cp:coreProperties>
</file>