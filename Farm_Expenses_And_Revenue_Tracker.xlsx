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 Directory" state="visible" r:id="rId4"/>
    <sheet sheetId="2" name="Registered Customers" state="visible" r:id="rId5"/>
    <sheet sheetId="3" name="Daily Tracker" state="visible" r:id="rId6"/>
    <sheet sheetId="4" name="Milk Category Summary" state="visible" r:id="rId7"/>
    <sheet sheetId="5" name="Rates &amp; Settings" state="visible" r:id="rId8"/>
    <sheet sheetId="6" name="Customer Master" state="visible" r:id="rId9"/>
  </sheets>
  <calcPr calcId="171027"/>
</workbook>
</file>

<file path=xl/sharedStrings.xml><?xml version="1.0" encoding="utf-8"?>
<sst xmlns="http://schemas.openxmlformats.org/spreadsheetml/2006/main" count="439" uniqueCount="219">
  <si>
    <t>Expense ID</t>
  </si>
  <si>
    <t>Date</t>
  </si>
  <si>
    <t>Expense Category</t>
  </si>
  <si>
    <t>Supplier / Worker / Note</t>
  </si>
  <si>
    <t>Amount Paid (Rs.)</t>
  </si>
  <si>
    <t>Remarks / Notes</t>
  </si>
  <si>
    <t>EXP-101</t>
  </si>
  <si>
    <t>2026-09-01</t>
  </si>
  <si>
    <t>Silage</t>
  </si>
  <si>
    <t>Green Fodder Supplier</t>
  </si>
  <si>
    <t>Silage tractor load</t>
  </si>
  <si>
    <t>EXP-102</t>
  </si>
  <si>
    <t>Grass Cutter Wage</t>
  </si>
  <si>
    <t>Murugan (Worker)</t>
  </si>
  <si>
    <t>Daily grass cutting wage</t>
  </si>
  <si>
    <t>EXP-103</t>
  </si>
  <si>
    <t>Feed / Punnaku</t>
  </si>
  <si>
    <t>Lakshmi Feed Store</t>
  </si>
  <si>
    <t>50kg Oil cake bag</t>
  </si>
  <si>
    <t>EXP-104</t>
  </si>
  <si>
    <t>Other Expense</t>
  </si>
  <si>
    <t>Veterinary Doctor</t>
  </si>
  <si>
    <t>Cow health checkup</t>
  </si>
  <si>
    <t>EXP-105</t>
  </si>
  <si>
    <t>2026-09-02</t>
  </si>
  <si>
    <t>Daily wage</t>
  </si>
  <si>
    <t>EXP-106</t>
  </si>
  <si>
    <t>EXP-107</t>
  </si>
  <si>
    <t>2026-09-03</t>
  </si>
  <si>
    <t>EXP-108</t>
  </si>
  <si>
    <t>Cow Store</t>
  </si>
  <si>
    <t>Punnaku bag</t>
  </si>
  <si>
    <t>EXP-109</t>
  </si>
  <si>
    <t>2026-09-04</t>
  </si>
  <si>
    <t>Fodder Supplier</t>
  </si>
  <si>
    <t>New silage batch</t>
  </si>
  <si>
    <t>Customer ID</t>
  </si>
  <si>
    <t>Customer Name</t>
  </si>
  <si>
    <t>Milk Category</t>
  </si>
  <si>
    <t>Customer Type</t>
  </si>
  <si>
    <t>Phone Number</t>
  </si>
  <si>
    <t>Delivery Route / Address</t>
  </si>
  <si>
    <t>Def 175ml</t>
  </si>
  <si>
    <t>Def 475ml</t>
  </si>
  <si>
    <t>Def 500ml</t>
  </si>
  <si>
    <t>Def 750ml</t>
  </si>
  <si>
    <t>Def 1L</t>
  </si>
  <si>
    <t>Status</t>
  </si>
  <si>
    <t>Total Litres Bought</t>
  </si>
  <si>
    <t>Total Revenue (Rs.)</t>
  </si>
  <si>
    <t>CUST-101</t>
  </si>
  <si>
    <t>Dharshan</t>
  </si>
  <si>
    <t>Cow Milk</t>
  </si>
  <si>
    <t>Daily Customer</t>
  </si>
  <si>
    <t>0764805061</t>
  </si>
  <si>
    <t>Route 1 - Green Valley</t>
  </si>
  <si>
    <t>Active</t>
  </si>
  <si>
    <t>CUST-102</t>
  </si>
  <si>
    <t>Hotel Royal Milk Account</t>
  </si>
  <si>
    <t>Monthly Customer</t>
  </si>
  <si>
    <t>9845012345</t>
  </si>
  <si>
    <t>Main Street Market #45</t>
  </si>
  <si>
    <t>CUST-103</t>
  </si>
  <si>
    <t>Sita Lakshmi</t>
  </si>
  <si>
    <t>Goat Milk</t>
  </si>
  <si>
    <t>9988776655</t>
  </si>
  <si>
    <t>Route 2 - Lakeview Homes</t>
  </si>
  <si>
    <t>CUST-104</t>
  </si>
  <si>
    <t>City Sweets &amp; Bakery</t>
  </si>
  <si>
    <t>9776655443</t>
  </si>
  <si>
    <t>Bypass Road #12</t>
  </si>
  <si>
    <t>CUST-105</t>
  </si>
  <si>
    <t>Spot Walk-in Buyers</t>
  </si>
  <si>
    <t>Time-Being</t>
  </si>
  <si>
    <t>N/A</t>
  </si>
  <si>
    <t>Farm Gate Direct</t>
  </si>
  <si>
    <t>Registered Customer</t>
  </si>
  <si>
    <t>175ml (Qty)</t>
  </si>
  <si>
    <t>475ml (Qty)</t>
  </si>
  <si>
    <t>500ml (Qty)</t>
  </si>
  <si>
    <t>750ml (Qty)</t>
  </si>
  <si>
    <t>1000ml (Qty)</t>
  </si>
  <si>
    <t>Total Litres</t>
  </si>
  <si>
    <t>Rev 175ml (Rs.)</t>
  </si>
  <si>
    <t>Rev 475ml (Rs.)</t>
  </si>
  <si>
    <t>Rev 500ml (Rs.)</t>
  </si>
  <si>
    <t>Rev 750ml (Rs.)</t>
  </si>
  <si>
    <t>Rev 1000ml (Rs.)</t>
  </si>
  <si>
    <t>Silage Cost (Rs.)</t>
  </si>
  <si>
    <t>Grass Cutter Wage (Rs.)</t>
  </si>
  <si>
    <t>Feed / Punnaku (Rs.)</t>
  </si>
  <si>
    <t>Other Expense (Rs.)</t>
  </si>
  <si>
    <t>Total Expenses (Rs.)</t>
  </si>
  <si>
    <t>Net Profit / Loss (Rs.)</t>
  </si>
  <si>
    <t>Remarks</t>
  </si>
  <si>
    <t>2026-09-07</t>
  </si>
  <si>
    <t>Route 1 &amp; Spot Sales</t>
  </si>
  <si>
    <t>Today total farm record</t>
  </si>
  <si>
    <t>2026-09-06</t>
  </si>
  <si>
    <t>Sita Lakshmi &amp; Goat Milk Clients</t>
  </si>
  <si>
    <t>Weekend sales spurt</t>
  </si>
  <si>
    <t>2026-09-05</t>
  </si>
  <si>
    <t>Event &amp; Walk-ins</t>
  </si>
  <si>
    <t>Cutter overtime wage</t>
  </si>
  <si>
    <t>Route 1 &amp; City Sweets</t>
  </si>
  <si>
    <t>New silage batch bought</t>
  </si>
  <si>
    <t>High 1L demand</t>
  </si>
  <si>
    <t>TOTAL</t>
  </si>
  <si>
    <t/>
  </si>
  <si>
    <t>All Categories</t>
  </si>
  <si>
    <t>Grand Total</t>
  </si>
  <si>
    <t>Milk Category Performance Summary</t>
  </si>
  <si>
    <t>Total Litres Sold</t>
  </si>
  <si>
    <t>Total Revenue Generated (Rs.)</t>
  </si>
  <si>
    <t>Revenue Share %</t>
  </si>
  <si>
    <t>Bottle Size / Item</t>
  </si>
  <si>
    <t>Cow Milk Rate (Rs.)</t>
  </si>
  <si>
    <t>Goat Milk Rate (Rs.)</t>
  </si>
  <si>
    <t>Unit / Measure</t>
  </si>
  <si>
    <t>Notes &amp; Instructions</t>
  </si>
  <si>
    <t>175ml Bottle Selling Price</t>
  </si>
  <si>
    <t>Per Bottle (0.175 L)</t>
  </si>
  <si>
    <t>Editable: Unit price for 175ml bottle</t>
  </si>
  <si>
    <t>475ml Bottle Selling Price</t>
  </si>
  <si>
    <t>Per Bottle (0.475 L)</t>
  </si>
  <si>
    <t>Editable: Unit price for 475ml bottle</t>
  </si>
  <si>
    <t>500ml Bottle Selling Price</t>
  </si>
  <si>
    <t>Per Bottle (0.500 L)</t>
  </si>
  <si>
    <t>Editable: Unit price for 500ml bottle</t>
  </si>
  <si>
    <t>750ml Bottle Selling Price</t>
  </si>
  <si>
    <t>Per Bottle (0.750 L)</t>
  </si>
  <si>
    <t>Editable: Unit price for 750ml bottle</t>
  </si>
  <si>
    <t>1000ml (1L) Bottle Selling Price</t>
  </si>
  <si>
    <t>Per Bottle (1.000 L)</t>
  </si>
  <si>
    <t>Editable: Unit price for 1000ml (1L) bottle</t>
  </si>
  <si>
    <t>Payment Type</t>
  </si>
  <si>
    <t>Milk Type</t>
  </si>
  <si>
    <t>Delivery Address / Notes</t>
  </si>
  <si>
    <t>Helabojun</t>
  </si>
  <si>
    <t>Cow Milk Only</t>
  </si>
  <si>
    <t>Route Sales / Spot</t>
  </si>
  <si>
    <t>Goat Milk Sales</t>
  </si>
  <si>
    <t>Goat Milk Only</t>
  </si>
  <si>
    <t>Goat Milk Route</t>
  </si>
  <si>
    <t>Ayurveda</t>
  </si>
  <si>
    <t>Ayurveda Center</t>
  </si>
  <si>
    <t>Gamini</t>
  </si>
  <si>
    <t>Route Sales</t>
  </si>
  <si>
    <t>Lakeside</t>
  </si>
  <si>
    <t>Weekly Customer</t>
  </si>
  <si>
    <t>Lakeside Area</t>
  </si>
  <si>
    <t>CUST-106</t>
  </si>
  <si>
    <t>Mahaiyyawa</t>
  </si>
  <si>
    <t>Mahaiyyawa Route</t>
  </si>
  <si>
    <t>CUST-107</t>
  </si>
  <si>
    <t>Arupola Hotel</t>
  </si>
  <si>
    <t>Arupola Route</t>
  </si>
  <si>
    <t>CUST-108</t>
  </si>
  <si>
    <t>Karthik</t>
  </si>
  <si>
    <t>Town Route</t>
  </si>
  <si>
    <t>CUST-109</t>
  </si>
  <si>
    <t>Logeshwaran</t>
  </si>
  <si>
    <t>Monthly Account</t>
  </si>
  <si>
    <t>CUST-110</t>
  </si>
  <si>
    <t>Praveen</t>
  </si>
  <si>
    <t>CUST-111</t>
  </si>
  <si>
    <t>Lekraj</t>
  </si>
  <si>
    <t>CUST-112</t>
  </si>
  <si>
    <t>Nursery</t>
  </si>
  <si>
    <t>CUST-113</t>
  </si>
  <si>
    <t>Mahendran</t>
  </si>
  <si>
    <t>CUST-114</t>
  </si>
  <si>
    <t>Ravi Ranjan Pandit</t>
  </si>
  <si>
    <t>CUST-115</t>
  </si>
  <si>
    <t>Wijesoriya</t>
  </si>
  <si>
    <t>CUST-116</t>
  </si>
  <si>
    <t>Vinayagamoorthy</t>
  </si>
  <si>
    <t>CUST-117</t>
  </si>
  <si>
    <t>Aadithya</t>
  </si>
  <si>
    <t>CUST-118</t>
  </si>
  <si>
    <t>Selvanayagi</t>
  </si>
  <si>
    <t>CUST-119</t>
  </si>
  <si>
    <t>Jeyachandrika</t>
  </si>
  <si>
    <t>CUST-120</t>
  </si>
  <si>
    <t>Safras</t>
  </si>
  <si>
    <t>CUST-121</t>
  </si>
  <si>
    <t>Yogesh</t>
  </si>
  <si>
    <t>CUST-122</t>
  </si>
  <si>
    <t>Uthpala Wickramasinghe</t>
  </si>
  <si>
    <t>CUST-123</t>
  </si>
  <si>
    <t>Sundar</t>
  </si>
  <si>
    <t>CUST-124</t>
  </si>
  <si>
    <t>Asgiriya</t>
  </si>
  <si>
    <t>Asgiriya Route</t>
  </si>
  <si>
    <t>CUST-125</t>
  </si>
  <si>
    <t>Periya Samy (Dada)</t>
  </si>
  <si>
    <t>CUST-126</t>
  </si>
  <si>
    <t>Hardware</t>
  </si>
  <si>
    <t>CUST-127</t>
  </si>
  <si>
    <t>Ranga</t>
  </si>
  <si>
    <t>CUST-128</t>
  </si>
  <si>
    <t>Nithya</t>
  </si>
  <si>
    <t>CUST-129</t>
  </si>
  <si>
    <t>Pramod Sharma</t>
  </si>
  <si>
    <t>CUST-130</t>
  </si>
  <si>
    <t>Sathosa Thenna</t>
  </si>
  <si>
    <t>CUST-131</t>
  </si>
  <si>
    <t>Keerthana</t>
  </si>
  <si>
    <t>CUST-132</t>
  </si>
  <si>
    <t>Eb Ayya</t>
  </si>
  <si>
    <t>CUST-133</t>
  </si>
  <si>
    <t>Eb Akka</t>
  </si>
  <si>
    <t>CUST-134</t>
  </si>
  <si>
    <t>Pichamalwatta</t>
  </si>
  <si>
    <t>Pichamalwatta Route</t>
  </si>
  <si>
    <t>CUST-135</t>
  </si>
  <si>
    <t>Vidhu</t>
  </si>
  <si>
    <t>CUST-136</t>
  </si>
  <si>
    <t>Ahiran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</si>
</sst>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Rs. &quot;#,##0.00;(&quot;Rs. &quot;#,##0.00);&quot;-&quot;"/>
    <numFmt numFmtId="165" formatCode="#,##0.00 &quot;L&quot;"/>
    <numFmt numFmtId="166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sz val="11"/>
      <name val="Calibri"/>
    </font>
    <font>
      <b/>
      <color rgb="FFFFFFFF"/>
      <sz val="14"/>
      <name val="Calibri"/>
    </font>
  </fonts>
  <fills count="8">
    <fill>
      <patternFill patternType="none"/>
    </fill>
    <fill>
      <patternFill patternType="gray125"/>
    </fill>
    <fill>
      <patternFill patternType="solid">
        <fgColor rgb="FFBE123C"/>
      </patternFill>
    </fill>
    <fill>
      <patternFill patternType="solid">
        <fgColor rgb="FFD97706"/>
      </patternFill>
    </fill>
    <fill>
      <patternFill patternType="solid">
        <fgColor rgb="FF1E293B"/>
      </patternFill>
    </fill>
    <fill>
      <patternFill patternType="solid">
        <fgColor rgb="FF0D9488"/>
      </patternFill>
    </fill>
    <fill>
      <patternFill patternType="solid">
        <fgColor rgb="FF4338CA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double">
        <color rgb="FF334155"/>
      </top>
      <bottom style="double">
        <color rgb="FF33415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3" borderId="0" xfId="0" applyFont="1" applyFill="1" applyAlignment="1">
      <alignment horizontal="center" vertical="center"/>
    </xf>
    <xf numFmtId="165" fontId="0" fillId="0" borderId="1" xfId="0" applyNumberFormat="1" applyBorder="1"/>
    <xf numFmtId="0" fontId="1" fillId="4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3" fontId="0" fillId="0" borderId="1" xfId="0" applyNumberFormat="1" applyBorder="1"/>
    <xf numFmtId="0" fontId="2" fillId="7" borderId="2" xfId="0" applyFont="1" applyFill="1" applyBorder="1"/>
    <xf numFmtId="165" fontId="2" fillId="7" borderId="2" xfId="0" applyNumberFormat="1" applyFont="1" applyFill="1" applyBorder="1"/>
    <xf numFmtId="164" fontId="2" fillId="7" borderId="2" xfId="0" applyNumberFormat="1" applyFont="1" applyFill="1" applyBorder="1"/>
    <xf numFmtId="0" fontId="3" fillId="6" borderId="0" xfId="0" applyFont="1" applyFill="1" applyAlignment="1">
      <alignment horizontal="center" vertical="center"/>
    </xf>
    <xf numFmtId="0" fontId="1" fillId="0" borderId="0" xfId="0" applyFont="1"/>
    <xf numFmtId="0" fontId="1" fillId="4" borderId="0" xfId="0" applyFont="1" applyFill="1"/>
    <xf numFmtId="166" fontId="0" fillId="0" borderId="1" xfId="0" applyNumberFormat="1" applyBorder="1"/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15" customWidth="1"/>
    <col min="2" max="2" width="14" customWidth="1"/>
    <col min="3" max="3" width="22" customWidth="1"/>
    <col min="4" max="4" width="28" customWidth="1"/>
    <col min="5" max="5" width="20" customWidth="1"/>
    <col min="6" max="6" width="32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 t="s">
        <v>7</v>
      </c>
      <c r="C2" s="3" t="s">
        <v>8</v>
      </c>
      <c r="D2" s="3" t="s">
        <v>9</v>
      </c>
      <c r="E2" s="4">
        <v>1200</v>
      </c>
      <c r="F2" s="3" t="s">
        <v>10</v>
      </c>
    </row>
    <row r="3" ht="20" customHeight="1" spans="1:6" x14ac:dyDescent="0.25">
      <c r="A3" s="2" t="s">
        <v>11</v>
      </c>
      <c r="B3" s="2" t="s">
        <v>7</v>
      </c>
      <c r="C3" s="3" t="s">
        <v>12</v>
      </c>
      <c r="D3" s="3" t="s">
        <v>13</v>
      </c>
      <c r="E3" s="4">
        <v>600</v>
      </c>
      <c r="F3" s="3" t="s">
        <v>14</v>
      </c>
    </row>
    <row r="4" ht="20" customHeight="1" spans="1:6" x14ac:dyDescent="0.25">
      <c r="A4" s="2" t="s">
        <v>15</v>
      </c>
      <c r="B4" s="2" t="s">
        <v>7</v>
      </c>
      <c r="C4" s="3" t="s">
        <v>16</v>
      </c>
      <c r="D4" s="3" t="s">
        <v>17</v>
      </c>
      <c r="E4" s="4">
        <v>450</v>
      </c>
      <c r="F4" s="3" t="s">
        <v>18</v>
      </c>
    </row>
    <row r="5" ht="20" customHeight="1" spans="1:6" x14ac:dyDescent="0.25">
      <c r="A5" s="2" t="s">
        <v>19</v>
      </c>
      <c r="B5" s="2" t="s">
        <v>7</v>
      </c>
      <c r="C5" s="3" t="s">
        <v>20</v>
      </c>
      <c r="D5" s="3" t="s">
        <v>21</v>
      </c>
      <c r="E5" s="4">
        <v>100</v>
      </c>
      <c r="F5" s="3" t="s">
        <v>22</v>
      </c>
    </row>
    <row r="6" ht="20" customHeight="1" spans="1:6" x14ac:dyDescent="0.25">
      <c r="A6" s="2" t="s">
        <v>23</v>
      </c>
      <c r="B6" s="2" t="s">
        <v>24</v>
      </c>
      <c r="C6" s="3" t="s">
        <v>12</v>
      </c>
      <c r="D6" s="3" t="s">
        <v>13</v>
      </c>
      <c r="E6" s="4">
        <v>600</v>
      </c>
      <c r="F6" s="3" t="s">
        <v>25</v>
      </c>
    </row>
    <row r="7" ht="20" customHeight="1" spans="1:6" x14ac:dyDescent="0.25">
      <c r="A7" s="2" t="s">
        <v>26</v>
      </c>
      <c r="B7" s="2" t="s">
        <v>24</v>
      </c>
      <c r="C7" s="3" t="s">
        <v>16</v>
      </c>
      <c r="D7" s="3" t="s">
        <v>17</v>
      </c>
      <c r="E7" s="4">
        <v>450</v>
      </c>
      <c r="F7" s="3" t="s">
        <v>18</v>
      </c>
    </row>
    <row r="8" ht="20" customHeight="1" spans="1:6" x14ac:dyDescent="0.25">
      <c r="A8" s="2" t="s">
        <v>27</v>
      </c>
      <c r="B8" s="2" t="s">
        <v>28</v>
      </c>
      <c r="C8" s="3" t="s">
        <v>12</v>
      </c>
      <c r="D8" s="3" t="s">
        <v>13</v>
      </c>
      <c r="E8" s="4">
        <v>600</v>
      </c>
      <c r="F8" s="3" t="s">
        <v>25</v>
      </c>
    </row>
    <row r="9" ht="20" customHeight="1" spans="1:6" x14ac:dyDescent="0.25">
      <c r="A9" s="2" t="s">
        <v>29</v>
      </c>
      <c r="B9" s="2" t="s">
        <v>28</v>
      </c>
      <c r="C9" s="3" t="s">
        <v>16</v>
      </c>
      <c r="D9" s="3" t="s">
        <v>30</v>
      </c>
      <c r="E9" s="4">
        <v>500</v>
      </c>
      <c r="F9" s="3" t="s">
        <v>31</v>
      </c>
    </row>
    <row r="10" ht="20" customHeight="1" spans="1:6" x14ac:dyDescent="0.25">
      <c r="A10" s="2" t="s">
        <v>32</v>
      </c>
      <c r="B10" s="2" t="s">
        <v>33</v>
      </c>
      <c r="C10" s="3" t="s">
        <v>8</v>
      </c>
      <c r="D10" s="3" t="s">
        <v>34</v>
      </c>
      <c r="E10" s="4">
        <v>1200</v>
      </c>
      <c r="F10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16" customWidth="1"/>
    <col min="4" max="4" width="18" customWidth="1"/>
    <col min="5" max="5" width="16" customWidth="1"/>
    <col min="6" max="6" width="30" customWidth="1"/>
    <col min="7" max="12" width="12" customWidth="1"/>
    <col min="13" max="13" width="20" customWidth="1"/>
    <col min="14" max="14" width="22" customWidth="1"/>
  </cols>
  <sheetData>
    <row r="1" ht="28" customHeight="1" spans="1:14" x14ac:dyDescent="0.25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</row>
    <row r="2" ht="20" customHeight="1" spans="1:14" x14ac:dyDescent="0.25">
      <c r="A2" s="2" t="s">
        <v>50</v>
      </c>
      <c r="B2" s="3" t="s">
        <v>51</v>
      </c>
      <c r="C2" s="2" t="s">
        <v>52</v>
      </c>
      <c r="D2" s="2" t="s">
        <v>53</v>
      </c>
      <c r="E2" s="2" t="s">
        <v>54</v>
      </c>
      <c r="F2" s="3" t="s">
        <v>55</v>
      </c>
      <c r="G2" s="3">
        <v>0</v>
      </c>
      <c r="H2" s="3">
        <v>1</v>
      </c>
      <c r="I2" s="3">
        <v>0</v>
      </c>
      <c r="J2" s="3">
        <v>2</v>
      </c>
      <c r="K2" s="3">
        <v>1</v>
      </c>
      <c r="L2" s="2" t="s">
        <v>56</v>
      </c>
      <c r="M2" s="6">
        <f>SUMIF('Daily Tracker'!D2:D100, B2, 'Daily Tracker'!J2:J100)</f>
      </c>
      <c r="N2" s="4">
        <f>SUMIF('Daily Tracker'!D2:D100, B2, 'Daily Tracker'!P2:P100)</f>
      </c>
    </row>
    <row r="3" ht="20" customHeight="1" spans="1:14" x14ac:dyDescent="0.25">
      <c r="A3" s="2" t="s">
        <v>57</v>
      </c>
      <c r="B3" s="3" t="s">
        <v>58</v>
      </c>
      <c r="C3" s="2" t="s">
        <v>52</v>
      </c>
      <c r="D3" s="2" t="s">
        <v>59</v>
      </c>
      <c r="E3" s="2" t="s">
        <v>60</v>
      </c>
      <c r="F3" s="3" t="s">
        <v>61</v>
      </c>
      <c r="G3" s="3">
        <v>10</v>
      </c>
      <c r="H3" s="3">
        <v>10</v>
      </c>
      <c r="I3" s="3">
        <v>5</v>
      </c>
      <c r="J3" s="3">
        <v>20</v>
      </c>
      <c r="K3" s="3">
        <v>15</v>
      </c>
      <c r="L3" s="2" t="s">
        <v>56</v>
      </c>
      <c r="M3" s="6">
        <f>SUMIF('Daily Tracker'!D2:D100, B3, 'Daily Tracker'!J2:J100)</f>
      </c>
      <c r="N3" s="4">
        <f>SUMIF('Daily Tracker'!D2:D100, B3, 'Daily Tracker'!P2:P100)</f>
      </c>
    </row>
    <row r="4" ht="20" customHeight="1" spans="1:14" x14ac:dyDescent="0.25">
      <c r="A4" s="2" t="s">
        <v>62</v>
      </c>
      <c r="B4" s="3" t="s">
        <v>63</v>
      </c>
      <c r="C4" s="2" t="s">
        <v>64</v>
      </c>
      <c r="D4" s="2" t="s">
        <v>53</v>
      </c>
      <c r="E4" s="2" t="s">
        <v>65</v>
      </c>
      <c r="F4" s="3" t="s">
        <v>66</v>
      </c>
      <c r="G4" s="3">
        <v>2</v>
      </c>
      <c r="H4" s="3">
        <v>1</v>
      </c>
      <c r="I4" s="3">
        <v>0</v>
      </c>
      <c r="J4" s="3">
        <v>1</v>
      </c>
      <c r="K4" s="3">
        <v>0</v>
      </c>
      <c r="L4" s="2" t="s">
        <v>56</v>
      </c>
      <c r="M4" s="6">
        <f>SUMIF('Daily Tracker'!D2:D100, B4, 'Daily Tracker'!J2:J100)</f>
      </c>
      <c r="N4" s="4">
        <f>SUMIF('Daily Tracker'!D2:D100, B4, 'Daily Tracker'!P2:P100)</f>
      </c>
    </row>
    <row r="5" ht="20" customHeight="1" spans="1:14" x14ac:dyDescent="0.25">
      <c r="A5" s="2" t="s">
        <v>67</v>
      </c>
      <c r="B5" s="3" t="s">
        <v>68</v>
      </c>
      <c r="C5" s="2" t="s">
        <v>52</v>
      </c>
      <c r="D5" s="2" t="s">
        <v>59</v>
      </c>
      <c r="E5" s="2" t="s">
        <v>69</v>
      </c>
      <c r="F5" s="3" t="s">
        <v>70</v>
      </c>
      <c r="G5" s="3">
        <v>0</v>
      </c>
      <c r="H5" s="3">
        <v>0</v>
      </c>
      <c r="I5" s="3">
        <v>20</v>
      </c>
      <c r="J5" s="3">
        <v>30</v>
      </c>
      <c r="K5" s="3">
        <v>25</v>
      </c>
      <c r="L5" s="2" t="s">
        <v>56</v>
      </c>
      <c r="M5" s="6">
        <f>SUMIF('Daily Tracker'!D2:D100, B5, 'Daily Tracker'!J2:J100)</f>
      </c>
      <c r="N5" s="4">
        <f>SUMIF('Daily Tracker'!D2:D100, B5, 'Daily Tracker'!P2:P100)</f>
      </c>
    </row>
    <row r="6" ht="20" customHeight="1" spans="1:14" x14ac:dyDescent="0.25">
      <c r="A6" s="2" t="s">
        <v>71</v>
      </c>
      <c r="B6" s="3" t="s">
        <v>72</v>
      </c>
      <c r="C6" s="2" t="s">
        <v>64</v>
      </c>
      <c r="D6" s="2" t="s">
        <v>73</v>
      </c>
      <c r="E6" s="2" t="s">
        <v>74</v>
      </c>
      <c r="F6" s="3" t="s">
        <v>75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2" t="s">
        <v>56</v>
      </c>
      <c r="M6" s="6">
        <f>SUMIF('Daily Tracker'!D2:D100, B6, 'Daily Tracker'!J2:J100)</f>
      </c>
      <c r="N6" s="4">
        <f>SUMIF('Daily Tracker'!D2:D100, B6, 'Daily Tracker'!P2:P100)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8" customWidth="1"/>
    <col min="4" max="4" width="25" customWidth="1"/>
    <col min="5" max="9" width="12" customWidth="1"/>
    <col min="10" max="10" width="14" customWidth="1"/>
    <col min="11" max="15" width="15" customWidth="1"/>
    <col min="16" max="16" width="18" customWidth="1"/>
    <col min="17" max="17" width="16" customWidth="1"/>
    <col min="18" max="18" width="20" customWidth="1"/>
    <col min="19" max="21" width="18" customWidth="1"/>
    <col min="22" max="22" width="20" customWidth="1"/>
    <col min="23" max="23" width="25" customWidth="1"/>
  </cols>
  <sheetData>
    <row r="1" ht="28" customHeight="1" spans="1:23" x14ac:dyDescent="0.25">
      <c r="A1" s="7" t="s">
        <v>1</v>
      </c>
      <c r="B1" s="8" t="s">
        <v>38</v>
      </c>
      <c r="C1" s="8" t="s">
        <v>39</v>
      </c>
      <c r="D1" s="8" t="s">
        <v>76</v>
      </c>
      <c r="E1" s="9" t="s">
        <v>77</v>
      </c>
      <c r="F1" s="9" t="s">
        <v>78</v>
      </c>
      <c r="G1" s="9" t="s">
        <v>79</v>
      </c>
      <c r="H1" s="9" t="s">
        <v>80</v>
      </c>
      <c r="I1" s="9" t="s">
        <v>81</v>
      </c>
      <c r="J1" s="9" t="s">
        <v>82</v>
      </c>
      <c r="K1" s="9" t="s">
        <v>83</v>
      </c>
      <c r="L1" s="9" t="s">
        <v>84</v>
      </c>
      <c r="M1" s="9" t="s">
        <v>85</v>
      </c>
      <c r="N1" s="9" t="s">
        <v>86</v>
      </c>
      <c r="O1" s="9" t="s">
        <v>87</v>
      </c>
      <c r="P1" s="9" t="s">
        <v>49</v>
      </c>
      <c r="Q1" s="10" t="s">
        <v>88</v>
      </c>
      <c r="R1" s="10" t="s">
        <v>89</v>
      </c>
      <c r="S1" s="10" t="s">
        <v>90</v>
      </c>
      <c r="T1" s="10" t="s">
        <v>91</v>
      </c>
      <c r="U1" s="10" t="s">
        <v>92</v>
      </c>
      <c r="V1" s="11" t="s">
        <v>93</v>
      </c>
      <c r="W1" s="7" t="s">
        <v>94</v>
      </c>
    </row>
    <row r="2" ht="20" customHeight="1" spans="1:23" x14ac:dyDescent="0.25">
      <c r="A2" s="2" t="s">
        <v>95</v>
      </c>
      <c r="B2" s="2" t="s">
        <v>52</v>
      </c>
      <c r="C2" s="2" t="s">
        <v>53</v>
      </c>
      <c r="D2" s="3" t="s">
        <v>96</v>
      </c>
      <c r="E2" s="12">
        <v>10</v>
      </c>
      <c r="F2" s="12">
        <v>20</v>
      </c>
      <c r="G2" s="12">
        <v>15</v>
      </c>
      <c r="H2" s="12">
        <v>44</v>
      </c>
      <c r="I2" s="12">
        <v>34</v>
      </c>
      <c r="J2" s="6">
        <f>(E2*0.175)+(F2*0.475)+(G2*0.5)+(H2*0.75)+(I2*1)</f>
      </c>
      <c r="K2" s="4">
        <f>E2*IF(B2="Goat Milk",'Rates &amp; Settings'!$C$3,'Rates &amp; Settings'!$B$3)</f>
      </c>
      <c r="L2" s="4">
        <f>F2*IF(B2="Goat Milk",'Rates &amp; Settings'!$C$4,'Rates &amp; Settings'!$B$4)</f>
      </c>
      <c r="M2" s="4">
        <f>G2*IF(B2="Goat Milk",'Rates &amp; Settings'!$C$5,'Rates &amp; Settings'!$B$5)</f>
      </c>
      <c r="N2" s="4">
        <f>H2*IF(B2="Goat Milk",'Rates &amp; Settings'!$C$6,'Rates &amp; Settings'!$B$6)</f>
      </c>
      <c r="O2" s="4">
        <f>I2*IF(B2="Goat Milk",'Rates &amp; Settings'!$C$7,'Rates &amp; Settings'!$B$7)</f>
      </c>
      <c r="P2" s="4">
        <f>SUM(K2:O2)</f>
      </c>
      <c r="Q2" s="4">
        <v>0</v>
      </c>
      <c r="R2" s="4">
        <v>600</v>
      </c>
      <c r="S2" s="4">
        <v>460</v>
      </c>
      <c r="T2" s="4">
        <v>0</v>
      </c>
      <c r="U2" s="4">
        <f>SUM(Q2:T2)</f>
      </c>
      <c r="V2" s="4">
        <f>P2-U2</f>
      </c>
      <c r="W2" s="3" t="s">
        <v>97</v>
      </c>
    </row>
    <row r="3" ht="20" customHeight="1" spans="1:23" x14ac:dyDescent="0.25">
      <c r="A3" s="2" t="s">
        <v>98</v>
      </c>
      <c r="B3" s="2" t="s">
        <v>64</v>
      </c>
      <c r="C3" s="2" t="s">
        <v>53</v>
      </c>
      <c r="D3" s="3" t="s">
        <v>99</v>
      </c>
      <c r="E3" s="12">
        <v>12</v>
      </c>
      <c r="F3" s="12">
        <v>10</v>
      </c>
      <c r="G3" s="12">
        <v>8</v>
      </c>
      <c r="H3" s="12">
        <v>15</v>
      </c>
      <c r="I3" s="12">
        <v>5</v>
      </c>
      <c r="J3" s="6">
        <f>(E3*0.175)+(F3*0.475)+(G3*0.5)+(H3*0.75)+(I3*1)</f>
      </c>
      <c r="K3" s="4">
        <f>E3*IF(B3="Goat Milk",'Rates &amp; Settings'!$C$3,'Rates &amp; Settings'!$B$3)</f>
      </c>
      <c r="L3" s="4">
        <f>F3*IF(B3="Goat Milk",'Rates &amp; Settings'!$C$4,'Rates &amp; Settings'!$B$4)</f>
      </c>
      <c r="M3" s="4">
        <f>G3*IF(B3="Goat Milk",'Rates &amp; Settings'!$C$5,'Rates &amp; Settings'!$B$5)</f>
      </c>
      <c r="N3" s="4">
        <f>H3*IF(B3="Goat Milk",'Rates &amp; Settings'!$C$6,'Rates &amp; Settings'!$B$6)</f>
      </c>
      <c r="O3" s="4">
        <f>I3*IF(B3="Goat Milk",'Rates &amp; Settings'!$C$7,'Rates &amp; Settings'!$B$7)</f>
      </c>
      <c r="P3" s="4">
        <f>SUM(K3:O3)</f>
      </c>
      <c r="Q3" s="4">
        <v>0</v>
      </c>
      <c r="R3" s="4">
        <v>600</v>
      </c>
      <c r="S3" s="4">
        <v>450</v>
      </c>
      <c r="T3" s="4">
        <v>0</v>
      </c>
      <c r="U3" s="4">
        <f>SUM(Q3:T3)</f>
      </c>
      <c r="V3" s="4">
        <f>P3-U3</f>
      </c>
      <c r="W3" s="3" t="s">
        <v>100</v>
      </c>
    </row>
    <row r="4" ht="20" customHeight="1" spans="1:23" x14ac:dyDescent="0.25">
      <c r="A4" s="2" t="s">
        <v>101</v>
      </c>
      <c r="B4" s="2" t="s">
        <v>52</v>
      </c>
      <c r="C4" s="2" t="s">
        <v>73</v>
      </c>
      <c r="D4" s="3" t="s">
        <v>102</v>
      </c>
      <c r="E4" s="12">
        <v>5</v>
      </c>
      <c r="F4" s="12">
        <v>32</v>
      </c>
      <c r="G4" s="12">
        <v>10</v>
      </c>
      <c r="H4" s="12">
        <v>42</v>
      </c>
      <c r="I4" s="12">
        <v>30</v>
      </c>
      <c r="J4" s="6">
        <f>(E4*0.175)+(F4*0.475)+(G4*0.5)+(H4*0.75)+(I4*1)</f>
      </c>
      <c r="K4" s="4">
        <f>E4*IF(B4="Goat Milk",'Rates &amp; Settings'!$C$3,'Rates &amp; Settings'!$B$3)</f>
      </c>
      <c r="L4" s="4">
        <f>F4*IF(B4="Goat Milk",'Rates &amp; Settings'!$C$4,'Rates &amp; Settings'!$B$4)</f>
      </c>
      <c r="M4" s="4">
        <f>G4*IF(B4="Goat Milk",'Rates &amp; Settings'!$C$5,'Rates &amp; Settings'!$B$5)</f>
      </c>
      <c r="N4" s="4">
        <f>H4*IF(B4="Goat Milk",'Rates &amp; Settings'!$C$6,'Rates &amp; Settings'!$B$6)</f>
      </c>
      <c r="O4" s="4">
        <f>I4*IF(B4="Goat Milk",'Rates &amp; Settings'!$C$7,'Rates &amp; Settings'!$B$7)</f>
      </c>
      <c r="P4" s="4">
        <f>SUM(K4:O4)</f>
      </c>
      <c r="Q4" s="4">
        <v>0</v>
      </c>
      <c r="R4" s="4">
        <v>650</v>
      </c>
      <c r="S4" s="4">
        <v>480</v>
      </c>
      <c r="T4" s="4">
        <v>120</v>
      </c>
      <c r="U4" s="4">
        <f>SUM(Q4:T4)</f>
      </c>
      <c r="V4" s="4">
        <f>P4-U4</f>
      </c>
      <c r="W4" s="3" t="s">
        <v>103</v>
      </c>
    </row>
    <row r="5" ht="20" customHeight="1" spans="1:23" x14ac:dyDescent="0.25">
      <c r="A5" s="2" t="s">
        <v>33</v>
      </c>
      <c r="B5" s="2" t="s">
        <v>52</v>
      </c>
      <c r="C5" s="2" t="s">
        <v>53</v>
      </c>
      <c r="D5" s="3" t="s">
        <v>104</v>
      </c>
      <c r="E5" s="12">
        <v>8</v>
      </c>
      <c r="F5" s="12">
        <v>28</v>
      </c>
      <c r="G5" s="12">
        <v>12</v>
      </c>
      <c r="H5" s="12">
        <v>38</v>
      </c>
      <c r="I5" s="12">
        <v>28</v>
      </c>
      <c r="J5" s="6">
        <f>(E5*0.175)+(F5*0.475)+(G5*0.5)+(H5*0.75)+(I5*1)</f>
      </c>
      <c r="K5" s="4">
        <f>E5*IF(B5="Goat Milk",'Rates &amp; Settings'!$C$3,'Rates &amp; Settings'!$B$3)</f>
      </c>
      <c r="L5" s="4">
        <f>F5*IF(B5="Goat Milk",'Rates &amp; Settings'!$C$4,'Rates &amp; Settings'!$B$4)</f>
      </c>
      <c r="M5" s="4">
        <f>G5*IF(B5="Goat Milk",'Rates &amp; Settings'!$C$5,'Rates &amp; Settings'!$B$5)</f>
      </c>
      <c r="N5" s="4">
        <f>H5*IF(B5="Goat Milk",'Rates &amp; Settings'!$C$6,'Rates &amp; Settings'!$B$6)</f>
      </c>
      <c r="O5" s="4">
        <f>I5*IF(B5="Goat Milk",'Rates &amp; Settings'!$C$7,'Rates &amp; Settings'!$B$7)</f>
      </c>
      <c r="P5" s="4">
        <f>SUM(K5:O5)</f>
      </c>
      <c r="Q5" s="4">
        <v>1200</v>
      </c>
      <c r="R5" s="4">
        <v>600</v>
      </c>
      <c r="S5" s="4">
        <v>450</v>
      </c>
      <c r="T5" s="4">
        <v>0</v>
      </c>
      <c r="U5" s="4">
        <f>SUM(Q5:T5)</f>
      </c>
      <c r="V5" s="4">
        <f>P5-U5</f>
      </c>
      <c r="W5" s="3" t="s">
        <v>105</v>
      </c>
    </row>
    <row r="6" ht="20" customHeight="1" spans="1:23" x14ac:dyDescent="0.25">
      <c r="A6" s="2" t="s">
        <v>28</v>
      </c>
      <c r="B6" s="2" t="s">
        <v>64</v>
      </c>
      <c r="C6" s="2" t="s">
        <v>59</v>
      </c>
      <c r="D6" s="3" t="s">
        <v>68</v>
      </c>
      <c r="E6" s="12">
        <v>15</v>
      </c>
      <c r="F6" s="12">
        <v>20</v>
      </c>
      <c r="G6" s="12">
        <v>10</v>
      </c>
      <c r="H6" s="12">
        <v>25</v>
      </c>
      <c r="I6" s="12">
        <v>10</v>
      </c>
      <c r="J6" s="6">
        <f>(E6*0.175)+(F6*0.475)+(G6*0.5)+(H6*0.75)+(I6*1)</f>
      </c>
      <c r="K6" s="4">
        <f>E6*IF(B6="Goat Milk",'Rates &amp; Settings'!$C$3,'Rates &amp; Settings'!$B$3)</f>
      </c>
      <c r="L6" s="4">
        <f>F6*IF(B6="Goat Milk",'Rates &amp; Settings'!$C$4,'Rates &amp; Settings'!$B$4)</f>
      </c>
      <c r="M6" s="4">
        <f>G6*IF(B6="Goat Milk",'Rates &amp; Settings'!$C$5,'Rates &amp; Settings'!$B$5)</f>
      </c>
      <c r="N6" s="4">
        <f>H6*IF(B6="Goat Milk",'Rates &amp; Settings'!$C$6,'Rates &amp; Settings'!$B$6)</f>
      </c>
      <c r="O6" s="4">
        <f>I6*IF(B6="Goat Milk",'Rates &amp; Settings'!$C$7,'Rates &amp; Settings'!$B$7)</f>
      </c>
      <c r="P6" s="4">
        <f>SUM(K6:O6)</f>
      </c>
      <c r="Q6" s="4">
        <v>0</v>
      </c>
      <c r="R6" s="4">
        <v>600</v>
      </c>
      <c r="S6" s="4">
        <v>500</v>
      </c>
      <c r="T6" s="4">
        <v>50</v>
      </c>
      <c r="U6" s="4">
        <f>SUM(Q6:T6)</f>
      </c>
      <c r="V6" s="4">
        <f>P6-U6</f>
      </c>
      <c r="W6" s="3" t="s">
        <v>106</v>
      </c>
    </row>
    <row r="7" ht="24" customHeight="1" spans="1:23" x14ac:dyDescent="0.25">
      <c r="A7" s="13" t="s">
        <v>107</v>
      </c>
      <c r="B7" s="13" t="s">
        <v>108</v>
      </c>
      <c r="C7" s="13" t="s">
        <v>108</v>
      </c>
      <c r="D7" s="13" t="s">
        <v>109</v>
      </c>
      <c r="E7" s="13">
        <f>SUM(E2:E6)</f>
      </c>
      <c r="F7" s="13">
        <f>SUM(F2:F6)</f>
      </c>
      <c r="G7" s="13">
        <f>SUM(G2:G6)</f>
      </c>
      <c r="H7" s="13">
        <f>SUM(H2:H6)</f>
      </c>
      <c r="I7" s="13">
        <f>SUM(I2:I6)</f>
      </c>
      <c r="J7" s="14">
        <f>SUM(J2:J6)</f>
      </c>
      <c r="K7" s="15">
        <f>SUM(K2:K6)</f>
      </c>
      <c r="L7" s="15">
        <f>SUM(L2:L6)</f>
      </c>
      <c r="M7" s="15">
        <f>SUM(M2:M6)</f>
      </c>
      <c r="N7" s="15">
        <f>SUM(N2:N6)</f>
      </c>
      <c r="O7" s="15">
        <f>SUM(O2:O6)</f>
      </c>
      <c r="P7" s="15">
        <f>SUM(P2:P6)</f>
      </c>
      <c r="Q7" s="15">
        <f>SUM(Q2:Q6)</f>
      </c>
      <c r="R7" s="15">
        <f>SUM(R2:R6)</f>
      </c>
      <c r="S7" s="15">
        <f>SUM(S2:S6)</f>
      </c>
      <c r="T7" s="15">
        <f>SUM(T2:T6)</f>
      </c>
      <c r="U7" s="15">
        <f>SUM(U2:U6)</f>
      </c>
      <c r="V7" s="15">
        <f>SUM(V2:V6)</f>
      </c>
      <c r="W7" s="1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outlineLevelRow="0" outlineLevelCol="0" x14ac:dyDescent="55"/>
  <cols>
    <col min="1" max="1" width="24" customWidth="1"/>
    <col min="2" max="2" width="18" customWidth="1"/>
    <col min="3" max="3" width="25" customWidth="1"/>
    <col min="4" max="4" width="16" customWidth="1"/>
  </cols>
  <sheetData>
    <row r="1" ht="28" customHeight="1" spans="1:4" x14ac:dyDescent="0.25">
      <c r="A1" s="16" t="s">
        <v>111</v>
      </c>
      <c r="B1" s="16"/>
      <c r="C1" s="16"/>
      <c r="D1" s="16"/>
    </row>
    <row r="2" spans="1:4" s="17" customFormat="1" x14ac:dyDescent="0.25">
      <c r="A2" s="18" t="s">
        <v>38</v>
      </c>
      <c r="B2" s="18" t="s">
        <v>112</v>
      </c>
      <c r="C2" s="18" t="s">
        <v>113</v>
      </c>
      <c r="D2" s="18" t="s">
        <v>114</v>
      </c>
    </row>
    <row r="3" spans="1:4" x14ac:dyDescent="0.25">
      <c r="A3" s="3" t="s">
        <v>52</v>
      </c>
      <c r="B3" s="6">
        <f>SUMIF('Daily Tracker'!B2:B6, "Cow Milk", 'Daily Tracker'!J2:J6)</f>
      </c>
      <c r="C3" s="4">
        <f>SUMIF('Daily Tracker'!B2:B6, "Cow Milk", 'Daily Tracker'!P2:P6)</f>
      </c>
      <c r="D3" s="19">
        <f>IF(C3&gt;0, C3/SUM($C$3:$C$4), 0)</f>
      </c>
    </row>
    <row r="4" spans="1:4" x14ac:dyDescent="0.25">
      <c r="A4" s="3" t="s">
        <v>64</v>
      </c>
      <c r="B4" s="6">
        <f>SUMIF('Daily Tracker'!B2:B6, "Goat Milk", 'Daily Tracker'!J2:J6)</f>
      </c>
      <c r="C4" s="4">
        <f>SUMIF('Daily Tracker'!B2:B6, "Goat Milk", 'Daily Tracker'!P2:P6)</f>
      </c>
      <c r="D4" s="19">
        <f>IF(C4&gt;0, C4/SUM($C$3:$C$4), 0)</f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outlineLevelRow="0" outlineLevelCol="0" x14ac:dyDescent="55"/>
  <cols>
    <col min="1" max="3" width="25" customWidth="1"/>
    <col min="4" max="4" width="20" customWidth="1"/>
    <col min="5" max="5" width="40" customWidth="1"/>
  </cols>
  <sheetData>
    <row r="1" spans="1:5" x14ac:dyDescent="0.25">
      <c r="A1" s="20" t="s">
        <v>115</v>
      </c>
      <c r="B1" s="20" t="s">
        <v>116</v>
      </c>
      <c r="C1" s="20" t="s">
        <v>117</v>
      </c>
      <c r="D1" s="20" t="s">
        <v>118</v>
      </c>
      <c r="E1" s="20" t="s">
        <v>119</v>
      </c>
    </row>
    <row r="2" spans="1:5" x14ac:dyDescent="0.25">
      <c r="A2" s="3" t="s">
        <v>120</v>
      </c>
      <c r="B2" s="4">
        <v>15</v>
      </c>
      <c r="C2" s="4">
        <v>25</v>
      </c>
      <c r="D2" s="3" t="s">
        <v>121</v>
      </c>
      <c r="E2" s="3" t="s">
        <v>122</v>
      </c>
    </row>
    <row r="3" spans="1:5" x14ac:dyDescent="0.25">
      <c r="A3" s="3" t="s">
        <v>123</v>
      </c>
      <c r="B3" s="4">
        <v>35</v>
      </c>
      <c r="C3" s="4">
        <v>60</v>
      </c>
      <c r="D3" s="3" t="s">
        <v>124</v>
      </c>
      <c r="E3" s="3" t="s">
        <v>125</v>
      </c>
    </row>
    <row r="4" spans="1:5" x14ac:dyDescent="0.25">
      <c r="A4" s="3" t="s">
        <v>126</v>
      </c>
      <c r="B4" s="4">
        <v>38</v>
      </c>
      <c r="C4" s="4">
        <v>65</v>
      </c>
      <c r="D4" s="3" t="s">
        <v>127</v>
      </c>
      <c r="E4" s="3" t="s">
        <v>128</v>
      </c>
    </row>
    <row r="5" spans="1:5" x14ac:dyDescent="0.25">
      <c r="A5" s="3" t="s">
        <v>129</v>
      </c>
      <c r="B5" s="4">
        <v>50</v>
      </c>
      <c r="C5" s="4">
        <v>90</v>
      </c>
      <c r="D5" s="3" t="s">
        <v>130</v>
      </c>
      <c r="E5" s="3" t="s">
        <v>131</v>
      </c>
    </row>
    <row r="6" spans="1:5" x14ac:dyDescent="0.25">
      <c r="A6" s="3" t="s">
        <v>132</v>
      </c>
      <c r="B6" s="4">
        <v>65</v>
      </c>
      <c r="C6" s="4">
        <v>120</v>
      </c>
      <c r="D6" s="3" t="s">
        <v>133</v>
      </c>
      <c r="E6" s="3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8" customWidth="1"/>
    <col min="3" max="3" width="20" customWidth="1"/>
    <col min="4" max="4" width="22" customWidth="1"/>
    <col min="5" max="5" width="18" customWidth="1"/>
    <col min="6" max="6" width="30" customWidth="1"/>
    <col min="7" max="7" width="16" customWidth="1"/>
  </cols>
  <sheetData>
    <row r="1" ht="28" customHeight="1" spans="1:7" x14ac:dyDescent="0.25">
      <c r="A1" s="5" t="s">
        <v>36</v>
      </c>
      <c r="B1" s="5" t="s">
        <v>37</v>
      </c>
      <c r="C1" s="5" t="s">
        <v>135</v>
      </c>
      <c r="D1" s="5" t="s">
        <v>136</v>
      </c>
      <c r="E1" s="5" t="s">
        <v>40</v>
      </c>
      <c r="F1" s="5" t="s">
        <v>137</v>
      </c>
      <c r="G1" s="5" t="s">
        <v>47</v>
      </c>
    </row>
    <row r="2" ht="20" customHeight="1" spans="1:7" x14ac:dyDescent="0.25">
      <c r="A2" s="3" t="s">
        <v>50</v>
      </c>
      <c r="B2" s="3" t="s">
        <v>138</v>
      </c>
      <c r="C2" s="3" t="s">
        <v>53</v>
      </c>
      <c r="D2" s="3" t="s">
        <v>139</v>
      </c>
      <c r="E2" s="3" t="s">
        <v>74</v>
      </c>
      <c r="F2" s="3" t="s">
        <v>140</v>
      </c>
      <c r="G2" s="3" t="s">
        <v>56</v>
      </c>
    </row>
    <row r="3" ht="20" customHeight="1" spans="1:7" x14ac:dyDescent="0.25">
      <c r="A3" s="3" t="s">
        <v>57</v>
      </c>
      <c r="B3" s="3" t="s">
        <v>141</v>
      </c>
      <c r="C3" s="3" t="s">
        <v>53</v>
      </c>
      <c r="D3" s="3" t="s">
        <v>142</v>
      </c>
      <c r="E3" s="3" t="s">
        <v>74</v>
      </c>
      <c r="F3" s="3" t="s">
        <v>143</v>
      </c>
      <c r="G3" s="3" t="s">
        <v>56</v>
      </c>
    </row>
    <row r="4" ht="20" customHeight="1" spans="1:7" x14ac:dyDescent="0.25">
      <c r="A4" s="3" t="s">
        <v>62</v>
      </c>
      <c r="B4" s="3" t="s">
        <v>144</v>
      </c>
      <c r="C4" s="3" t="s">
        <v>53</v>
      </c>
      <c r="D4" s="3" t="s">
        <v>139</v>
      </c>
      <c r="E4" s="3" t="s">
        <v>74</v>
      </c>
      <c r="F4" s="3" t="s">
        <v>145</v>
      </c>
      <c r="G4" s="3" t="s">
        <v>56</v>
      </c>
    </row>
    <row r="5" ht="20" customHeight="1" spans="1:7" x14ac:dyDescent="0.25">
      <c r="A5" s="3" t="s">
        <v>67</v>
      </c>
      <c r="B5" s="3" t="s">
        <v>146</v>
      </c>
      <c r="C5" s="3" t="s">
        <v>53</v>
      </c>
      <c r="D5" s="3" t="s">
        <v>139</v>
      </c>
      <c r="E5" s="3" t="s">
        <v>74</v>
      </c>
      <c r="F5" s="3" t="s">
        <v>147</v>
      </c>
      <c r="G5" s="3" t="s">
        <v>56</v>
      </c>
    </row>
    <row r="6" ht="20" customHeight="1" spans="1:7" x14ac:dyDescent="0.25">
      <c r="A6" s="3" t="s">
        <v>71</v>
      </c>
      <c r="B6" s="3" t="s">
        <v>148</v>
      </c>
      <c r="C6" s="3" t="s">
        <v>149</v>
      </c>
      <c r="D6" s="3" t="s">
        <v>139</v>
      </c>
      <c r="E6" s="3" t="s">
        <v>74</v>
      </c>
      <c r="F6" s="3" t="s">
        <v>150</v>
      </c>
      <c r="G6" s="3" t="s">
        <v>56</v>
      </c>
    </row>
    <row r="7" ht="20" customHeight="1" spans="1:7" x14ac:dyDescent="0.25">
      <c r="A7" s="3" t="s">
        <v>151</v>
      </c>
      <c r="B7" s="3" t="s">
        <v>152</v>
      </c>
      <c r="C7" s="3" t="s">
        <v>53</v>
      </c>
      <c r="D7" s="3" t="s">
        <v>139</v>
      </c>
      <c r="E7" s="3" t="s">
        <v>74</v>
      </c>
      <c r="F7" s="3" t="s">
        <v>153</v>
      </c>
      <c r="G7" s="3" t="s">
        <v>56</v>
      </c>
    </row>
    <row r="8" ht="20" customHeight="1" spans="1:7" x14ac:dyDescent="0.25">
      <c r="A8" s="3" t="s">
        <v>154</v>
      </c>
      <c r="B8" s="3" t="s">
        <v>155</v>
      </c>
      <c r="C8" s="3" t="s">
        <v>53</v>
      </c>
      <c r="D8" s="3" t="s">
        <v>139</v>
      </c>
      <c r="E8" s="3" t="s">
        <v>74</v>
      </c>
      <c r="F8" s="3" t="s">
        <v>156</v>
      </c>
      <c r="G8" s="3" t="s">
        <v>56</v>
      </c>
    </row>
    <row r="9" ht="20" customHeight="1" spans="1:7" x14ac:dyDescent="0.25">
      <c r="A9" s="3" t="s">
        <v>157</v>
      </c>
      <c r="B9" s="3" t="s">
        <v>158</v>
      </c>
      <c r="C9" s="3" t="s">
        <v>53</v>
      </c>
      <c r="D9" s="3" t="s">
        <v>139</v>
      </c>
      <c r="E9" s="3" t="s">
        <v>74</v>
      </c>
      <c r="F9" s="3" t="s">
        <v>159</v>
      </c>
      <c r="G9" s="3" t="s">
        <v>56</v>
      </c>
    </row>
    <row r="10" ht="20" customHeight="1" spans="1:7" x14ac:dyDescent="0.25">
      <c r="A10" s="3" t="s">
        <v>160</v>
      </c>
      <c r="B10" s="3" t="s">
        <v>161</v>
      </c>
      <c r="C10" s="3" t="s">
        <v>59</v>
      </c>
      <c r="D10" s="3" t="s">
        <v>139</v>
      </c>
      <c r="E10" s="3" t="s">
        <v>74</v>
      </c>
      <c r="F10" s="3" t="s">
        <v>162</v>
      </c>
      <c r="G10" s="3" t="s">
        <v>56</v>
      </c>
    </row>
    <row r="11" ht="20" customHeight="1" spans="1:7" x14ac:dyDescent="0.25">
      <c r="A11" s="3" t="s">
        <v>163</v>
      </c>
      <c r="B11" s="3" t="s">
        <v>164</v>
      </c>
      <c r="C11" s="3" t="s">
        <v>59</v>
      </c>
      <c r="D11" s="3" t="s">
        <v>139</v>
      </c>
      <c r="E11" s="3" t="s">
        <v>74</v>
      </c>
      <c r="F11" s="3" t="s">
        <v>162</v>
      </c>
      <c r="G11" s="3" t="s">
        <v>56</v>
      </c>
    </row>
    <row r="12" ht="20" customHeight="1" spans="1:7" x14ac:dyDescent="0.25">
      <c r="A12" s="3" t="s">
        <v>165</v>
      </c>
      <c r="B12" s="3" t="s">
        <v>166</v>
      </c>
      <c r="C12" s="3" t="s">
        <v>59</v>
      </c>
      <c r="D12" s="3" t="s">
        <v>139</v>
      </c>
      <c r="E12" s="3" t="s">
        <v>74</v>
      </c>
      <c r="F12" s="3" t="s">
        <v>162</v>
      </c>
      <c r="G12" s="3" t="s">
        <v>56</v>
      </c>
    </row>
    <row r="13" ht="20" customHeight="1" spans="1:7" x14ac:dyDescent="0.25">
      <c r="A13" s="3" t="s">
        <v>167</v>
      </c>
      <c r="B13" s="3" t="s">
        <v>168</v>
      </c>
      <c r="C13" s="3" t="s">
        <v>59</v>
      </c>
      <c r="D13" s="3" t="s">
        <v>139</v>
      </c>
      <c r="E13" s="3" t="s">
        <v>74</v>
      </c>
      <c r="F13" s="3" t="s">
        <v>162</v>
      </c>
      <c r="G13" s="3" t="s">
        <v>56</v>
      </c>
    </row>
    <row r="14" ht="20" customHeight="1" spans="1:7" x14ac:dyDescent="0.25">
      <c r="A14" s="3" t="s">
        <v>169</v>
      </c>
      <c r="B14" s="3" t="s">
        <v>170</v>
      </c>
      <c r="C14" s="3" t="s">
        <v>59</v>
      </c>
      <c r="D14" s="3" t="s">
        <v>139</v>
      </c>
      <c r="E14" s="3" t="s">
        <v>74</v>
      </c>
      <c r="F14" s="3" t="s">
        <v>162</v>
      </c>
      <c r="G14" s="3" t="s">
        <v>56</v>
      </c>
    </row>
    <row r="15" ht="20" customHeight="1" spans="1:7" x14ac:dyDescent="0.25">
      <c r="A15" s="3" t="s">
        <v>171</v>
      </c>
      <c r="B15" s="3" t="s">
        <v>172</v>
      </c>
      <c r="C15" s="3" t="s">
        <v>59</v>
      </c>
      <c r="D15" s="3" t="s">
        <v>139</v>
      </c>
      <c r="E15" s="3" t="s">
        <v>74</v>
      </c>
      <c r="F15" s="3" t="s">
        <v>162</v>
      </c>
      <c r="G15" s="3" t="s">
        <v>56</v>
      </c>
    </row>
    <row r="16" ht="20" customHeight="1" spans="1:7" x14ac:dyDescent="0.25">
      <c r="A16" s="3" t="s">
        <v>173</v>
      </c>
      <c r="B16" s="3" t="s">
        <v>174</v>
      </c>
      <c r="C16" s="3" t="s">
        <v>59</v>
      </c>
      <c r="D16" s="3" t="s">
        <v>139</v>
      </c>
      <c r="E16" s="3" t="s">
        <v>74</v>
      </c>
      <c r="F16" s="3" t="s">
        <v>162</v>
      </c>
      <c r="G16" s="3" t="s">
        <v>56</v>
      </c>
    </row>
    <row r="17" ht="20" customHeight="1" spans="1:7" x14ac:dyDescent="0.25">
      <c r="A17" s="3" t="s">
        <v>175</v>
      </c>
      <c r="B17" s="3" t="s">
        <v>176</v>
      </c>
      <c r="C17" s="3" t="s">
        <v>59</v>
      </c>
      <c r="D17" s="3" t="s">
        <v>139</v>
      </c>
      <c r="E17" s="3" t="s">
        <v>74</v>
      </c>
      <c r="F17" s="3" t="s">
        <v>162</v>
      </c>
      <c r="G17" s="3" t="s">
        <v>56</v>
      </c>
    </row>
    <row r="18" ht="20" customHeight="1" spans="1:7" x14ac:dyDescent="0.25">
      <c r="A18" s="3" t="s">
        <v>177</v>
      </c>
      <c r="B18" s="3" t="s">
        <v>178</v>
      </c>
      <c r="C18" s="3" t="s">
        <v>59</v>
      </c>
      <c r="D18" s="3" t="s">
        <v>139</v>
      </c>
      <c r="E18" s="3" t="s">
        <v>74</v>
      </c>
      <c r="F18" s="3" t="s">
        <v>162</v>
      </c>
      <c r="G18" s="3" t="s">
        <v>56</v>
      </c>
    </row>
    <row r="19" ht="20" customHeight="1" spans="1:7" x14ac:dyDescent="0.25">
      <c r="A19" s="3" t="s">
        <v>179</v>
      </c>
      <c r="B19" s="3" t="s">
        <v>180</v>
      </c>
      <c r="C19" s="3" t="s">
        <v>59</v>
      </c>
      <c r="D19" s="3" t="s">
        <v>139</v>
      </c>
      <c r="E19" s="3" t="s">
        <v>74</v>
      </c>
      <c r="F19" s="3" t="s">
        <v>162</v>
      </c>
      <c r="G19" s="3" t="s">
        <v>56</v>
      </c>
    </row>
    <row r="20" ht="20" customHeight="1" spans="1:7" x14ac:dyDescent="0.25">
      <c r="A20" s="3" t="s">
        <v>181</v>
      </c>
      <c r="B20" s="3" t="s">
        <v>182</v>
      </c>
      <c r="C20" s="3" t="s">
        <v>59</v>
      </c>
      <c r="D20" s="3" t="s">
        <v>139</v>
      </c>
      <c r="E20" s="3" t="s">
        <v>74</v>
      </c>
      <c r="F20" s="3" t="s">
        <v>162</v>
      </c>
      <c r="G20" s="3" t="s">
        <v>56</v>
      </c>
    </row>
    <row r="21" ht="20" customHeight="1" spans="1:7" x14ac:dyDescent="0.25">
      <c r="A21" s="3" t="s">
        <v>183</v>
      </c>
      <c r="B21" s="3" t="s">
        <v>184</v>
      </c>
      <c r="C21" s="3" t="s">
        <v>59</v>
      </c>
      <c r="D21" s="3" t="s">
        <v>139</v>
      </c>
      <c r="E21" s="3" t="s">
        <v>74</v>
      </c>
      <c r="F21" s="3" t="s">
        <v>162</v>
      </c>
      <c r="G21" s="3" t="s">
        <v>56</v>
      </c>
    </row>
    <row r="22" ht="20" customHeight="1" spans="1:7" x14ac:dyDescent="0.25">
      <c r="A22" s="3" t="s">
        <v>185</v>
      </c>
      <c r="B22" s="3" t="s">
        <v>186</v>
      </c>
      <c r="C22" s="3" t="s">
        <v>59</v>
      </c>
      <c r="D22" s="3" t="s">
        <v>139</v>
      </c>
      <c r="E22" s="3" t="s">
        <v>74</v>
      </c>
      <c r="F22" s="3" t="s">
        <v>162</v>
      </c>
      <c r="G22" s="3" t="s">
        <v>56</v>
      </c>
    </row>
    <row r="23" ht="20" customHeight="1" spans="1:7" x14ac:dyDescent="0.25">
      <c r="A23" s="3" t="s">
        <v>187</v>
      </c>
      <c r="B23" s="3" t="s">
        <v>188</v>
      </c>
      <c r="C23" s="3" t="s">
        <v>59</v>
      </c>
      <c r="D23" s="3" t="s">
        <v>139</v>
      </c>
      <c r="E23" s="3" t="s">
        <v>74</v>
      </c>
      <c r="F23" s="3" t="s">
        <v>162</v>
      </c>
      <c r="G23" s="3" t="s">
        <v>56</v>
      </c>
    </row>
    <row r="24" ht="20" customHeight="1" spans="1:7" x14ac:dyDescent="0.25">
      <c r="A24" s="3" t="s">
        <v>189</v>
      </c>
      <c r="B24" s="3" t="s">
        <v>190</v>
      </c>
      <c r="C24" s="3" t="s">
        <v>53</v>
      </c>
      <c r="D24" s="3" t="s">
        <v>139</v>
      </c>
      <c r="E24" s="3" t="s">
        <v>74</v>
      </c>
      <c r="F24" s="3" t="s">
        <v>147</v>
      </c>
      <c r="G24" s="3" t="s">
        <v>56</v>
      </c>
    </row>
    <row r="25" ht="20" customHeight="1" spans="1:7" x14ac:dyDescent="0.25">
      <c r="A25" s="3" t="s">
        <v>191</v>
      </c>
      <c r="B25" s="3" t="s">
        <v>192</v>
      </c>
      <c r="C25" s="3" t="s">
        <v>53</v>
      </c>
      <c r="D25" s="3" t="s">
        <v>139</v>
      </c>
      <c r="E25" s="3" t="s">
        <v>74</v>
      </c>
      <c r="F25" s="3" t="s">
        <v>193</v>
      </c>
      <c r="G25" s="3" t="s">
        <v>56</v>
      </c>
    </row>
    <row r="26" ht="20" customHeight="1" spans="1:7" x14ac:dyDescent="0.25">
      <c r="A26" s="3" t="s">
        <v>194</v>
      </c>
      <c r="B26" s="3" t="s">
        <v>195</v>
      </c>
      <c r="C26" s="3" t="s">
        <v>59</v>
      </c>
      <c r="D26" s="3" t="s">
        <v>139</v>
      </c>
      <c r="E26" s="3" t="s">
        <v>74</v>
      </c>
      <c r="F26" s="3" t="s">
        <v>162</v>
      </c>
      <c r="G26" s="3" t="s">
        <v>56</v>
      </c>
    </row>
    <row r="27" ht="20" customHeight="1" spans="1:7" x14ac:dyDescent="0.25">
      <c r="A27" s="3" t="s">
        <v>196</v>
      </c>
      <c r="B27" s="3" t="s">
        <v>197</v>
      </c>
      <c r="C27" s="3" t="s">
        <v>59</v>
      </c>
      <c r="D27" s="3" t="s">
        <v>139</v>
      </c>
      <c r="E27" s="3" t="s">
        <v>74</v>
      </c>
      <c r="F27" s="3" t="s">
        <v>162</v>
      </c>
      <c r="G27" s="3" t="s">
        <v>56</v>
      </c>
    </row>
    <row r="28" ht="20" customHeight="1" spans="1:7" x14ac:dyDescent="0.25">
      <c r="A28" s="3" t="s">
        <v>198</v>
      </c>
      <c r="B28" s="3" t="s">
        <v>199</v>
      </c>
      <c r="C28" s="3" t="s">
        <v>59</v>
      </c>
      <c r="D28" s="3" t="s">
        <v>139</v>
      </c>
      <c r="E28" s="3" t="s">
        <v>74</v>
      </c>
      <c r="F28" s="3" t="s">
        <v>162</v>
      </c>
      <c r="G28" s="3" t="s">
        <v>56</v>
      </c>
    </row>
    <row r="29" ht="20" customHeight="1" spans="1:7" x14ac:dyDescent="0.25">
      <c r="A29" s="3" t="s">
        <v>200</v>
      </c>
      <c r="B29" s="3" t="s">
        <v>201</v>
      </c>
      <c r="C29" s="3" t="s">
        <v>59</v>
      </c>
      <c r="D29" s="3" t="s">
        <v>139</v>
      </c>
      <c r="E29" s="3" t="s">
        <v>74</v>
      </c>
      <c r="F29" s="3" t="s">
        <v>162</v>
      </c>
      <c r="G29" s="3" t="s">
        <v>56</v>
      </c>
    </row>
    <row r="30" ht="20" customHeight="1" spans="1:7" x14ac:dyDescent="0.25">
      <c r="A30" s="3" t="s">
        <v>202</v>
      </c>
      <c r="B30" s="3" t="s">
        <v>203</v>
      </c>
      <c r="C30" s="3" t="s">
        <v>59</v>
      </c>
      <c r="D30" s="3" t="s">
        <v>139</v>
      </c>
      <c r="E30" s="3" t="s">
        <v>74</v>
      </c>
      <c r="F30" s="3" t="s">
        <v>162</v>
      </c>
      <c r="G30" s="3" t="s">
        <v>56</v>
      </c>
    </row>
    <row r="31" ht="20" customHeight="1" spans="1:7" x14ac:dyDescent="0.25">
      <c r="A31" s="3" t="s">
        <v>204</v>
      </c>
      <c r="B31" s="3" t="s">
        <v>205</v>
      </c>
      <c r="C31" s="3" t="s">
        <v>59</v>
      </c>
      <c r="D31" s="3" t="s">
        <v>139</v>
      </c>
      <c r="E31" s="3" t="s">
        <v>74</v>
      </c>
      <c r="F31" s="3" t="s">
        <v>162</v>
      </c>
      <c r="G31" s="3" t="s">
        <v>56</v>
      </c>
    </row>
    <row r="32" ht="20" customHeight="1" spans="1:7" x14ac:dyDescent="0.25">
      <c r="A32" s="3" t="s">
        <v>206</v>
      </c>
      <c r="B32" s="3" t="s">
        <v>207</v>
      </c>
      <c r="C32" s="3" t="s">
        <v>59</v>
      </c>
      <c r="D32" s="3" t="s">
        <v>139</v>
      </c>
      <c r="E32" s="3" t="s">
        <v>74</v>
      </c>
      <c r="F32" s="3" t="s">
        <v>162</v>
      </c>
      <c r="G32" s="3" t="s">
        <v>56</v>
      </c>
    </row>
    <row r="33" ht="20" customHeight="1" spans="1:7" x14ac:dyDescent="0.25">
      <c r="A33" s="3" t="s">
        <v>208</v>
      </c>
      <c r="B33" s="3" t="s">
        <v>209</v>
      </c>
      <c r="C33" s="3" t="s">
        <v>53</v>
      </c>
      <c r="D33" s="3" t="s">
        <v>139</v>
      </c>
      <c r="E33" s="3" t="s">
        <v>74</v>
      </c>
      <c r="F33" s="3" t="s">
        <v>147</v>
      </c>
      <c r="G33" s="3" t="s">
        <v>56</v>
      </c>
    </row>
    <row r="34" ht="20" customHeight="1" spans="1:7" x14ac:dyDescent="0.25">
      <c r="A34" s="3" t="s">
        <v>210</v>
      </c>
      <c r="B34" s="3" t="s">
        <v>211</v>
      </c>
      <c r="C34" s="3" t="s">
        <v>53</v>
      </c>
      <c r="D34" s="3" t="s">
        <v>139</v>
      </c>
      <c r="E34" s="3" t="s">
        <v>74</v>
      </c>
      <c r="F34" s="3" t="s">
        <v>147</v>
      </c>
      <c r="G34" s="3" t="s">
        <v>56</v>
      </c>
    </row>
    <row r="35" ht="20" customHeight="1" spans="1:7" x14ac:dyDescent="0.25">
      <c r="A35" s="3" t="s">
        <v>212</v>
      </c>
      <c r="B35" s="3" t="s">
        <v>213</v>
      </c>
      <c r="C35" s="3" t="s">
        <v>53</v>
      </c>
      <c r="D35" s="3" t="s">
        <v>139</v>
      </c>
      <c r="E35" s="3" t="s">
        <v>74</v>
      </c>
      <c r="F35" s="3" t="s">
        <v>214</v>
      </c>
      <c r="G35" s="3" t="s">
        <v>56</v>
      </c>
    </row>
    <row r="36" ht="20" customHeight="1" spans="1:7" x14ac:dyDescent="0.25">
      <c r="A36" s="3" t="s">
        <v>215</v>
      </c>
      <c r="B36" s="3" t="s">
        <v>216</v>
      </c>
      <c r="C36" s="3" t="s">
        <v>53</v>
      </c>
      <c r="D36" s="3" t="s">
        <v>139</v>
      </c>
      <c r="E36" s="3" t="s">
        <v>74</v>
      </c>
      <c r="F36" s="3" t="s">
        <v>147</v>
      </c>
      <c r="G36" s="3" t="s">
        <v>56</v>
      </c>
    </row>
    <row r="37" ht="20" customHeight="1" spans="1:7" x14ac:dyDescent="0.25">
      <c r="A37" s="3" t="s">
        <v>217</v>
      </c>
      <c r="B37" s="3" t="s">
        <v>218</v>
      </c>
      <c r="C37" s="3" t="s">
        <v>53</v>
      </c>
      <c r="D37" s="3" t="s">
        <v>139</v>
      </c>
      <c r="E37" s="3" t="s">
        <v>74</v>
      </c>
      <c r="F37" s="3" t="s">
        <v>147</v>
      </c>
      <c r="G37" s="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Expense Directory</vt:lpstr>
      <vt:lpstr>Registered Customers</vt:lpstr>
      <vt:lpstr>Daily Tracker</vt:lpstr>
      <vt:lpstr>Milk Category Summary</vt:lpstr>
      <vt:lpstr>Rates &amp; Settings</vt:lpstr>
      <vt:lpstr>Customer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 Family Farms</dc:creator>
  <dc:title/>
  <dc:subject/>
  <dc:description/>
  <cp:keywords/>
  <cp:category/>
  <cp:lastModifiedBy>Happy Family Farms</cp:lastModifiedBy>
  <dcterms:created xsi:type="dcterms:W3CDTF">2026-10-04T22:09:39Z</dcterms:created>
  <dcterms:modified xsi:type="dcterms:W3CDTF">2026-10-04T22:09:39Z</dcterms:modified>
</cp:coreProperties>
</file>