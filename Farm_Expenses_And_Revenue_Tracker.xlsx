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<sst xmlns="http://schemas.openxmlformats.org/spreadsheetml/2006/main" count="180" uniqueCount="136">
  <si>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</si>
  <si>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</si>
  <si>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</si>
  <si>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</si>
  <si>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</si>
  <si>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</si>
  <si>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</si>
  <si>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</si>
  <si>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</si>
  <si>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</si>
  <si>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</si>
  <si>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</si>
  <si>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</si>
  <si>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</si>
  <si>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</si>
  <si>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</si>
  <si>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</si>
  <si>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</si>
  <si>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</si>
  <si>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</si>
  <si>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</si>
  <si>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</si>
  <si>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Cattle health checkup</t>
  </si>
  <si>
    <t>EXP-105</t>
  </si>
  <si>
    <t>2026-09-02</t>
  </si>
  <si>
    <t>Daily wage</t>
  </si>
  <si>
    <t>EXP-106</t>
  </si>
  <si>
    <t>Concentrate feed</t>
  </si>
  <si>
    <t>EXP-107</t>
  </si>
  <si>
    <t>2026-09-03</t>
  </si>
  <si>
    <t>EXP-108</t>
  </si>
  <si>
    <t>Cattle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</si>
  <si>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</si>
  <si>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</si>
  <si>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</si>
  <si>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</si>
  <si>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</si>
  <si>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</si>
  <si>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</si>
  <si>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</si>
  <si>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</si>
  <si>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</si>
  <si>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</si>
  <si>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</si>
  <si>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</si>
  <si>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</si>
  <si>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</si>
  <si>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</si>
  <si>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</si>
  <si>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</si>
  <si>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</si>
  <si>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</si>
  <si>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</si>
  <si>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Cattle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</si>
  <si>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</si>
  <si>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</si>
  <si>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</si>
  <si>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</si>
  <si>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</si>
  <si>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</si>
  <si>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</si>
  <si>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</si>
  <si>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</si>
  <si>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</si>
  <si>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</si>
  <si>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</si>
  <si>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</si>
  <si>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</si>
  <si>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</si>
  <si>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</si>
  <si>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</si>
  <si>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</si>
  <si>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</si>
  <si>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</si>
  <si>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</si>
  <si>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</si>
  <si>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</si>
  <si>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</si>
  <si>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</si>
  <si>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</si>
  <si>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</si>
  <si>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</si>
  <si>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</si>
  <si>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</si>
  <si>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</si>
  <si>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</si>
  <si>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</si>
  <si>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</si>
  <si>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</si>
  <si>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</si>
  <si>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</si>
  <si>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</si>
  <si>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</si>
  <si>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</si>
  <si>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</si>
  <si>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</si>
  <si>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</si>
  <si>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</si>
  <si>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</si>
  <si>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</si>
  <si>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</si>
  <si>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</si>
  <si>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</si>
  <si>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</si>
  <si>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</si>
  <si>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</si>
  <si>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</si>
  <si>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</si>
  <si>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</si>
  <si>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</si>
  <si>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</si>
  <si>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</si>
  <si>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</si>
  <si>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</si>
  <si>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</si>
  <si>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</si>
  <si>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</si>
  <si>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Cattle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</si>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</sst>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27</v>
      </c>
    </row>
    <row r="8" ht="20" customHeight="1" spans="1:6" x14ac:dyDescent="0.25">
      <c r="A8" s="2" t="s">
        <v>28</v>
      </c>
      <c r="B8" s="2" t="s">
        <v>29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30</v>
      </c>
      <c r="B9" s="2" t="s">
        <v>29</v>
      </c>
      <c r="C9" s="3" t="s">
        <v>16</v>
      </c>
      <c r="D9" s="3" t="s">
        <v>31</v>
      </c>
      <c r="E9" s="4">
        <v>500</v>
      </c>
      <c r="F9" s="3" t="s">
        <v>32</v>
      </c>
    </row>
    <row r="10" ht="20" customHeight="1" spans="1:6" x14ac:dyDescent="0.25">
      <c r="A10" s="2" t="s">
        <v>33</v>
      </c>
      <c r="B10" s="2" t="s">
        <v>34</v>
      </c>
      <c r="C10" s="3" t="s">
        <v>8</v>
      </c>
      <c r="D10" s="3" t="s">
        <v>35</v>
      </c>
      <c r="E10" s="4">
        <v>1200</v>
      </c>
      <c r="F10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</row>
    <row r="2" ht="20" customHeight="1" spans="1:14" x14ac:dyDescent="0.25">
      <c r="A2" s="2" t="s">
        <v>51</v>
      </c>
      <c r="B2" s="3" t="s">
        <v>52</v>
      </c>
      <c r="C2" s="2" t="s">
        <v>53</v>
      </c>
      <c r="D2" s="2" t="s">
        <v>54</v>
      </c>
      <c r="E2" s="2" t="s">
        <v>55</v>
      </c>
      <c r="F2" s="3" t="s">
        <v>56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57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58</v>
      </c>
      <c r="B3" s="3" t="s">
        <v>59</v>
      </c>
      <c r="C3" s="2" t="s">
        <v>53</v>
      </c>
      <c r="D3" s="2" t="s">
        <v>60</v>
      </c>
      <c r="E3" s="2" t="s">
        <v>61</v>
      </c>
      <c r="F3" s="3" t="s">
        <v>62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57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63</v>
      </c>
      <c r="B4" s="3" t="s">
        <v>64</v>
      </c>
      <c r="C4" s="2" t="s">
        <v>65</v>
      </c>
      <c r="D4" s="2" t="s">
        <v>54</v>
      </c>
      <c r="E4" s="2" t="s">
        <v>66</v>
      </c>
      <c r="F4" s="3" t="s">
        <v>67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57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68</v>
      </c>
      <c r="B5" s="3" t="s">
        <v>69</v>
      </c>
      <c r="C5" s="2" t="s">
        <v>53</v>
      </c>
      <c r="D5" s="2" t="s">
        <v>60</v>
      </c>
      <c r="E5" s="2" t="s">
        <v>70</v>
      </c>
      <c r="F5" s="3" t="s">
        <v>71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57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72</v>
      </c>
      <c r="B6" s="3" t="s">
        <v>73</v>
      </c>
      <c r="C6" s="2" t="s">
        <v>65</v>
      </c>
      <c r="D6" s="2" t="s">
        <v>74</v>
      </c>
      <c r="E6" s="2" t="s">
        <v>75</v>
      </c>
      <c r="F6" s="3" t="s">
        <v>76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57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39</v>
      </c>
      <c r="C1" s="8" t="s">
        <v>40</v>
      </c>
      <c r="D1" s="8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50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1" t="s">
        <v>94</v>
      </c>
      <c r="W1" s="7" t="s">
        <v>95</v>
      </c>
    </row>
    <row r="2" ht="20" customHeight="1" spans="1:23" x14ac:dyDescent="0.25">
      <c r="A2" s="2" t="s">
        <v>96</v>
      </c>
      <c r="B2" s="2" t="s">
        <v>53</v>
      </c>
      <c r="C2" s="2" t="s">
        <v>54</v>
      </c>
      <c r="D2" s="3" t="s">
        <v>97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98</v>
      </c>
    </row>
    <row r="3" ht="20" customHeight="1" spans="1:23" x14ac:dyDescent="0.25">
      <c r="A3" s="2" t="s">
        <v>99</v>
      </c>
      <c r="B3" s="2" t="s">
        <v>65</v>
      </c>
      <c r="C3" s="2" t="s">
        <v>54</v>
      </c>
      <c r="D3" s="3" t="s">
        <v>100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101</v>
      </c>
    </row>
    <row r="4" ht="20" customHeight="1" spans="1:23" x14ac:dyDescent="0.25">
      <c r="A4" s="2" t="s">
        <v>102</v>
      </c>
      <c r="B4" s="2" t="s">
        <v>53</v>
      </c>
      <c r="C4" s="2" t="s">
        <v>74</v>
      </c>
      <c r="D4" s="3" t="s">
        <v>103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104</v>
      </c>
    </row>
    <row r="5" ht="20" customHeight="1" spans="1:23" x14ac:dyDescent="0.25">
      <c r="A5" s="2" t="s">
        <v>34</v>
      </c>
      <c r="B5" s="2" t="s">
        <v>53</v>
      </c>
      <c r="C5" s="2" t="s">
        <v>54</v>
      </c>
      <c r="D5" s="3" t="s">
        <v>105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106</v>
      </c>
    </row>
    <row r="6" ht="20" customHeight="1" spans="1:23" x14ac:dyDescent="0.25">
      <c r="A6" s="2" t="s">
        <v>29</v>
      </c>
      <c r="B6" s="2" t="s">
        <v>65</v>
      </c>
      <c r="C6" s="2" t="s">
        <v>60</v>
      </c>
      <c r="D6" s="3" t="s">
        <v>69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107</v>
      </c>
    </row>
    <row r="7" ht="24" customHeight="1" spans="1:23" x14ac:dyDescent="0.25">
      <c r="A7" s="13" t="s">
        <v>108</v>
      </c>
      <c r="B7" s="13" t="s">
        <v>109</v>
      </c>
      <c r="C7" s="13" t="s">
        <v>109</v>
      </c>
      <c r="D7" s="13" t="s">
        <v>110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112</v>
      </c>
      <c r="B1" s="16"/>
      <c r="C1" s="16"/>
      <c r="D1" s="16"/>
    </row>
    <row r="2" spans="1:4" s="17" customFormat="1" x14ac:dyDescent="0.25">
      <c r="A2" s="18" t="s">
        <v>39</v>
      </c>
      <c r="B2" s="18" t="s">
        <v>113</v>
      </c>
      <c r="C2" s="18" t="s">
        <v>114</v>
      </c>
      <c r="D2" s="18" t="s">
        <v>115</v>
      </c>
    </row>
    <row r="3" spans="1:4" x14ac:dyDescent="0.25">
      <c r="A3" s="3" t="s">
        <v>53</v>
      </c>
      <c r="B3" s="6">
        <f>SUMIF('Daily Tracker'!B2:B6, "Cattle Milk", 'Daily Tracker'!J2:J6)</f>
      </c>
      <c r="C3" s="4">
        <f>SUMIF('Daily Tracker'!B2:B6, "Cattle Milk", 'Daily Tracker'!P2:P6)</f>
      </c>
      <c r="D3" s="19">
        <f>IF(C3&gt;0, C3/SUM($C$3:$C$4), 0)</f>
      </c>
    </row>
    <row r="4" spans="1:4" x14ac:dyDescent="0.25">
      <c r="A4" s="3" t="s">
        <v>65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116</v>
      </c>
      <c r="B1" s="20" t="s">
        <v>117</v>
      </c>
      <c r="C1" s="20" t="s">
        <v>118</v>
      </c>
      <c r="D1" s="20" t="s">
        <v>119</v>
      </c>
      <c r="E1" s="20" t="s">
        <v>120</v>
      </c>
    </row>
    <row r="2" spans="1:5" x14ac:dyDescent="0.25">
      <c r="A2" s="3" t="s">
        <v>121</v>
      </c>
      <c r="B2" s="4">
        <v>15</v>
      </c>
      <c r="C2" s="4">
        <v>25</v>
      </c>
      <c r="D2" s="3" t="s">
        <v>122</v>
      </c>
      <c r="E2" s="3" t="s">
        <v>123</v>
      </c>
    </row>
    <row r="3" spans="1:5" x14ac:dyDescent="0.25">
      <c r="A3" s="3" t="s">
        <v>124</v>
      </c>
      <c r="B3" s="4">
        <v>35</v>
      </c>
      <c r="C3" s="4">
        <v>60</v>
      </c>
      <c r="D3" s="3" t="s">
        <v>125</v>
      </c>
      <c r="E3" s="3" t="s">
        <v>126</v>
      </c>
    </row>
    <row r="4" spans="1:5" x14ac:dyDescent="0.25">
      <c r="A4" s="3" t="s">
        <v>127</v>
      </c>
      <c r="B4" s="4">
        <v>38</v>
      </c>
      <c r="C4" s="4">
        <v>65</v>
      </c>
      <c r="D4" s="3" t="s">
        <v>128</v>
      </c>
      <c r="E4" s="3" t="s">
        <v>129</v>
      </c>
    </row>
    <row r="5" spans="1:5" x14ac:dyDescent="0.25">
      <c r="A5" s="3" t="s">
        <v>130</v>
      </c>
      <c r="B5" s="4">
        <v>50</v>
      </c>
      <c r="C5" s="4">
        <v>90</v>
      </c>
      <c r="D5" s="3" t="s">
        <v>131</v>
      </c>
      <c r="E5" s="3" t="s">
        <v>132</v>
      </c>
    </row>
    <row r="6" spans="1:5" x14ac:dyDescent="0.25">
      <c r="A6" s="3" t="s">
        <v>133</v>
      </c>
      <c r="B6" s="4">
        <v>65</v>
      </c>
      <c r="C6" s="4">
        <v>120</v>
      </c>
      <c r="D6" s="3" t="s">
        <v>134</v>
      </c>
      <c r="E6" s="3" t="s">
        <v>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2026-09-16T09:00:01Z</dcterms:created>
  <dcterms:modified xsi:type="dcterms:W3CDTF">2026-09-16T09:00:01Z</dcterms:modified>
</cp:coreProperties>
</file>